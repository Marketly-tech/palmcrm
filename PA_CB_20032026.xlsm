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D:\Shared\"/>
    </mc:Choice>
  </mc:AlternateContent>
  <xr:revisionPtr revIDLastSave="0" documentId="13_ncr:1_{5F48C68E-C394-47D9-A4C0-6534C40ED0FE}" xr6:coauthVersionLast="47" xr6:coauthVersionMax="47" xr10:uidLastSave="{00000000-0000-0000-0000-000000000000}"/>
  <bookViews>
    <workbookView xWindow="-120" yWindow="-120" windowWidth="29040" windowHeight="15840" tabRatio="914" firstSheet="3" activeTab="3" xr2:uid="{00000000-000D-0000-FFFF-FFFF00000000}"/>
  </bookViews>
  <sheets>
    <sheet name="Booking Form-with charges" sheetId="18" r:id="rId1"/>
    <sheet name="Receipt" sheetId="19" r:id="rId2"/>
    <sheet name="Receipt Data" sheetId="20" r:id="rId3"/>
    <sheet name="Data" sheetId="21" r:id="rId4"/>
    <sheet name="0201" sheetId="17" r:id="rId5"/>
    <sheet name="0202" sheetId="23" r:id="rId6"/>
    <sheet name="0203" sheetId="22" r:id="rId7"/>
    <sheet name="0204" sheetId="24" r:id="rId8"/>
    <sheet name="0205" sheetId="25" r:id="rId9"/>
    <sheet name="0301" sheetId="26" r:id="rId10"/>
    <sheet name="0302" sheetId="27" r:id="rId11"/>
    <sheet name="0303" sheetId="28" r:id="rId12"/>
    <sheet name="0304" sheetId="29" r:id="rId13"/>
    <sheet name="0305" sheetId="30" r:id="rId14"/>
    <sheet name="0401" sheetId="31" r:id="rId15"/>
    <sheet name="0402" sheetId="32" r:id="rId16"/>
    <sheet name="0403" sheetId="33" r:id="rId17"/>
    <sheet name="0404" sheetId="34" r:id="rId18"/>
    <sheet name="0405" sheetId="35" r:id="rId19"/>
    <sheet name="0601" sheetId="36" r:id="rId20"/>
    <sheet name="0602" sheetId="37" r:id="rId21"/>
    <sheet name="0603" sheetId="38" r:id="rId22"/>
    <sheet name="0604" sheetId="39" r:id="rId23"/>
    <sheet name="0605" sheetId="40" r:id="rId24"/>
    <sheet name="0701" sheetId="41" r:id="rId25"/>
    <sheet name="0702" sheetId="58" r:id="rId26"/>
    <sheet name="0705" sheetId="66" r:id="rId27"/>
    <sheet name="0801" sheetId="54" r:id="rId28"/>
    <sheet name="0802" sheetId="62" r:id="rId29"/>
    <sheet name="1101" sheetId="57" r:id="rId30"/>
    <sheet name="1102" sheetId="71" r:id="rId31"/>
    <sheet name="1201" sheetId="61" r:id="rId32"/>
    <sheet name="1203" sheetId="59" r:id="rId33"/>
    <sheet name="1301" sheetId="69" r:id="rId34"/>
    <sheet name="1501" sheetId="48" r:id="rId35"/>
    <sheet name="1502" sheetId="63" r:id="rId36"/>
    <sheet name="1503" sheetId="53" r:id="rId37"/>
    <sheet name="1505" sheetId="56" r:id="rId38"/>
    <sheet name="1601" sheetId="50" r:id="rId39"/>
    <sheet name="1602" sheetId="70" r:id="rId40"/>
    <sheet name="1603" sheetId="43" r:id="rId41"/>
    <sheet name="1605" sheetId="52" r:id="rId42"/>
    <sheet name="1701" sheetId="42" r:id="rId43"/>
    <sheet name="1702" sheetId="45" r:id="rId44"/>
    <sheet name="1703" sheetId="64" r:id="rId45"/>
    <sheet name="1704" sheetId="49" r:id="rId46"/>
    <sheet name="1705" sheetId="72" r:id="rId47"/>
    <sheet name="2001" sheetId="51" r:id="rId48"/>
    <sheet name="2002" sheetId="44" r:id="rId49"/>
    <sheet name="2003" sheetId="46" r:id="rId50"/>
    <sheet name="2004" sheetId="47" r:id="rId51"/>
    <sheet name="2005" sheetId="67" r:id="rId52"/>
    <sheet name="2103" sheetId="65" r:id="rId53"/>
    <sheet name="2104" sheetId="55" r:id="rId54"/>
    <sheet name="2201" sheetId="60" r:id="rId55"/>
    <sheet name="2205" sheetId="68" r:id="rId56"/>
  </sheets>
  <functionGroups builtInGroupCount="19"/>
  <definedNames>
    <definedName name="_xlnm._FilterDatabase" localSheetId="3" hidden="1">Data!$A$1:$BD$78</definedName>
    <definedName name="_xlnm._FilterDatabase" localSheetId="2" hidden="1">'Receipt Data'!$A$1:$G$109</definedName>
  </definedNames>
  <calcPr calcId="181029"/>
</workbook>
</file>

<file path=xl/calcChain.xml><?xml version="1.0" encoding="utf-8"?>
<calcChain xmlns="http://schemas.openxmlformats.org/spreadsheetml/2006/main">
  <c r="G31" i="19" l="1"/>
  <c r="D35" i="19"/>
  <c r="D14" i="19"/>
  <c r="J17" i="21"/>
  <c r="F22" i="21"/>
  <c r="F33" i="21"/>
  <c r="F42" i="21"/>
  <c r="F53" i="21"/>
  <c r="F2" i="21"/>
  <c r="F3" i="21"/>
  <c r="F4" i="21"/>
  <c r="F5" i="21"/>
  <c r="F6" i="21"/>
  <c r="F7" i="21"/>
  <c r="F8" i="21"/>
  <c r="F9" i="21"/>
  <c r="F10" i="21"/>
  <c r="F11" i="21"/>
  <c r="F12" i="21"/>
  <c r="F13" i="21"/>
  <c r="F14" i="21"/>
  <c r="F15" i="21"/>
  <c r="F16" i="21"/>
  <c r="F17" i="21"/>
  <c r="F18" i="21"/>
  <c r="F19" i="21"/>
  <c r="F20" i="21"/>
  <c r="F21" i="21"/>
  <c r="F23" i="21"/>
  <c r="F24" i="21"/>
  <c r="F25" i="21"/>
  <c r="F26" i="21"/>
  <c r="F27" i="21"/>
  <c r="F28" i="21"/>
  <c r="F29" i="21"/>
  <c r="F30" i="21"/>
  <c r="F31" i="21"/>
  <c r="F32" i="21"/>
  <c r="F34" i="21"/>
  <c r="F35" i="21"/>
  <c r="F36" i="21"/>
  <c r="F37" i="21"/>
  <c r="F38" i="21"/>
  <c r="F39" i="21"/>
  <c r="F40" i="21"/>
  <c r="F41" i="21"/>
  <c r="F43" i="21"/>
  <c r="F44" i="21"/>
  <c r="F45" i="21"/>
  <c r="F46" i="21"/>
  <c r="F47" i="21"/>
  <c r="F48" i="21"/>
  <c r="F49" i="21"/>
  <c r="F50" i="21"/>
  <c r="F51" i="21"/>
  <c r="F52" i="21"/>
  <c r="J61" i="21"/>
  <c r="J54" i="21"/>
  <c r="F54" i="21" s="1"/>
  <c r="F55" i="21"/>
  <c r="E33" i="19"/>
  <c r="F57" i="21" l="1"/>
  <c r="F56" i="21"/>
  <c r="G10" i="19" l="1"/>
  <c r="A1" i="72" l="1"/>
  <c r="F59" i="21" l="1"/>
  <c r="F60" i="21"/>
  <c r="F61" i="21"/>
  <c r="F62" i="21"/>
  <c r="F63" i="21"/>
  <c r="F64" i="21"/>
  <c r="F65" i="21"/>
  <c r="F66" i="21"/>
  <c r="F67" i="21"/>
  <c r="F68" i="21"/>
  <c r="F69" i="21"/>
  <c r="F70" i="21"/>
  <c r="F71" i="21"/>
  <c r="F72" i="21"/>
  <c r="F73" i="21"/>
  <c r="F74" i="21"/>
  <c r="F75" i="21"/>
  <c r="F76" i="21"/>
  <c r="F77" i="21"/>
  <c r="F78" i="21"/>
  <c r="F58" i="21"/>
  <c r="H1" i="72" l="1"/>
  <c r="F1" i="72"/>
  <c r="B7" i="72"/>
  <c r="A22" i="72" s="1"/>
  <c r="B6" i="72"/>
  <c r="B5" i="72"/>
  <c r="B4" i="72"/>
  <c r="B3" i="72"/>
  <c r="D32" i="72"/>
  <c r="D28" i="72"/>
  <c r="E19" i="72"/>
  <c r="D19" i="72"/>
  <c r="H1" i="71"/>
  <c r="F1" i="71"/>
  <c r="B7" i="71"/>
  <c r="A21" i="71" s="1"/>
  <c r="B6" i="71"/>
  <c r="B5" i="71"/>
  <c r="D31" i="71" s="1"/>
  <c r="B4" i="71"/>
  <c r="B3" i="71"/>
  <c r="A1" i="71"/>
  <c r="D27" i="71"/>
  <c r="E18" i="71"/>
  <c r="D18" i="71"/>
  <c r="H4" i="71" s="1"/>
  <c r="T33" i="21" s="1"/>
  <c r="E20" i="72" l="1"/>
  <c r="H4" i="72"/>
  <c r="T61" i="21" s="1"/>
  <c r="D29" i="72"/>
  <c r="D31" i="72" s="1"/>
  <c r="E32" i="72"/>
  <c r="E34" i="72" s="1"/>
  <c r="D33" i="72"/>
  <c r="D34" i="72" s="1"/>
  <c r="E19" i="71"/>
  <c r="D32" i="71"/>
  <c r="D33" i="71" s="1"/>
  <c r="E31" i="71"/>
  <c r="E33" i="71" s="1"/>
  <c r="D28" i="71"/>
  <c r="D30" i="71" s="1"/>
  <c r="E12" i="19"/>
  <c r="E26" i="72" l="1"/>
  <c r="E31" i="72" s="1"/>
  <c r="E38" i="72" s="1"/>
  <c r="H61" i="21"/>
  <c r="E25" i="71"/>
  <c r="E30" i="71" s="1"/>
  <c r="E37" i="71" s="1"/>
  <c r="H33" i="21"/>
  <c r="D38" i="72"/>
  <c r="D37" i="71"/>
  <c r="D40" i="72" l="1"/>
  <c r="D39" i="71"/>
  <c r="E21" i="63"/>
  <c r="Y12" i="21" l="1"/>
  <c r="Z12" i="21"/>
  <c r="AB12" i="21"/>
  <c r="AC12" i="21"/>
  <c r="AD12" i="21"/>
  <c r="AE12" i="21"/>
  <c r="AF12" i="21"/>
  <c r="H1" i="70" l="1"/>
  <c r="F1" i="70"/>
  <c r="B7" i="70"/>
  <c r="A21" i="70" s="1"/>
  <c r="B6" i="70"/>
  <c r="B5" i="70"/>
  <c r="B4" i="70"/>
  <c r="B3" i="70"/>
  <c r="A1" i="70"/>
  <c r="D31" i="70"/>
  <c r="D27" i="70"/>
  <c r="D28" i="70" s="1"/>
  <c r="E18" i="70"/>
  <c r="D18" i="70"/>
  <c r="E19" i="70" l="1"/>
  <c r="E25" i="70" s="1"/>
  <c r="E30" i="70" s="1"/>
  <c r="H4" i="70"/>
  <c r="T53" i="21" s="1"/>
  <c r="D30" i="70"/>
  <c r="D32" i="70"/>
  <c r="D33" i="70" s="1"/>
  <c r="E31" i="70"/>
  <c r="E33" i="70" s="1"/>
  <c r="H1" i="69"/>
  <c r="F1" i="69"/>
  <c r="B7" i="69"/>
  <c r="A21" i="69" s="1"/>
  <c r="B6" i="69"/>
  <c r="B5" i="69"/>
  <c r="D31" i="69" s="1"/>
  <c r="B4" i="69"/>
  <c r="B3" i="69"/>
  <c r="A1" i="69"/>
  <c r="D27" i="69"/>
  <c r="D28" i="69" s="1"/>
  <c r="D30" i="69" s="1"/>
  <c r="E18" i="69"/>
  <c r="D18" i="69"/>
  <c r="E37" i="70" l="1"/>
  <c r="H53" i="21"/>
  <c r="D37" i="70"/>
  <c r="D39" i="70" s="1"/>
  <c r="E19" i="69"/>
  <c r="H4" i="69"/>
  <c r="T42" i="21" s="1"/>
  <c r="D32" i="69"/>
  <c r="D33" i="69" s="1"/>
  <c r="D37" i="69" s="1"/>
  <c r="E31" i="69"/>
  <c r="E33" i="69" s="1"/>
  <c r="H1" i="68"/>
  <c r="F1" i="68"/>
  <c r="B7" i="68"/>
  <c r="A21" i="68" s="1"/>
  <c r="B6" i="68"/>
  <c r="B5" i="68"/>
  <c r="B4" i="68"/>
  <c r="B3" i="68"/>
  <c r="E25" i="69" l="1"/>
  <c r="E30" i="69" s="1"/>
  <c r="H42" i="21"/>
  <c r="E37" i="69"/>
  <c r="D39" i="69" s="1"/>
  <c r="A1" i="68"/>
  <c r="D27" i="68"/>
  <c r="E18" i="68"/>
  <c r="D18" i="68"/>
  <c r="H4" i="68" s="1"/>
  <c r="T75" i="21" s="1"/>
  <c r="D31" i="68"/>
  <c r="D28" i="68" l="1"/>
  <c r="D30" i="68" s="1"/>
  <c r="E31" i="68"/>
  <c r="E33" i="68" s="1"/>
  <c r="D32" i="68"/>
  <c r="D33" i="68" s="1"/>
  <c r="E19" i="68"/>
  <c r="D37" i="68" l="1"/>
  <c r="E25" i="68"/>
  <c r="E30" i="68" s="1"/>
  <c r="H75" i="21"/>
  <c r="E37" i="68"/>
  <c r="D39" i="68" l="1"/>
  <c r="D21" i="63"/>
  <c r="T26" i="21"/>
  <c r="H1" i="67"/>
  <c r="F1" i="67"/>
  <c r="B7" i="67"/>
  <c r="A21" i="67" s="1"/>
  <c r="B6" i="67"/>
  <c r="B5" i="67"/>
  <c r="D31" i="67" s="1"/>
  <c r="B4" i="67"/>
  <c r="B3" i="67"/>
  <c r="A1" i="67"/>
  <c r="D27" i="67"/>
  <c r="D28" i="67" s="1"/>
  <c r="D30" i="67" s="1"/>
  <c r="E18" i="67"/>
  <c r="D18" i="67"/>
  <c r="H1" i="66"/>
  <c r="F1" i="66"/>
  <c r="B3" i="66"/>
  <c r="B7" i="66"/>
  <c r="A23" i="66" s="1"/>
  <c r="B6" i="66"/>
  <c r="B5" i="66"/>
  <c r="D33" i="66" s="1"/>
  <c r="B4" i="66"/>
  <c r="A1" i="66"/>
  <c r="D29" i="66"/>
  <c r="E20" i="66"/>
  <c r="D20" i="66"/>
  <c r="H4" i="66" s="1"/>
  <c r="H1" i="65"/>
  <c r="F1" i="65"/>
  <c r="B7" i="65"/>
  <c r="A21" i="65" s="1"/>
  <c r="B6" i="65"/>
  <c r="B5" i="65"/>
  <c r="D31" i="65" s="1"/>
  <c r="B4" i="65"/>
  <c r="B3" i="65"/>
  <c r="A1" i="65"/>
  <c r="D27" i="65"/>
  <c r="D28" i="65" s="1"/>
  <c r="D30" i="65" s="1"/>
  <c r="E18" i="65"/>
  <c r="D18" i="65"/>
  <c r="H4" i="65" s="1"/>
  <c r="T68" i="21" s="1"/>
  <c r="B3" i="54"/>
  <c r="H1" i="54"/>
  <c r="F1" i="54"/>
  <c r="B7" i="54"/>
  <c r="A21" i="54" s="1"/>
  <c r="B6" i="54"/>
  <c r="B5" i="54"/>
  <c r="B4" i="54"/>
  <c r="A1" i="54"/>
  <c r="E4" i="66"/>
  <c r="E3" i="66" s="1"/>
  <c r="E4" i="54"/>
  <c r="E3" i="54" s="1"/>
  <c r="E4" i="71"/>
  <c r="E3" i="71" s="1"/>
  <c r="E5" i="71" s="1"/>
  <c r="E7" i="71" s="1"/>
  <c r="E4" i="69"/>
  <c r="E3" i="69" s="1"/>
  <c r="E5" i="69" s="1"/>
  <c r="E7" i="69" s="1"/>
  <c r="E4" i="70"/>
  <c r="E3" i="70" s="1"/>
  <c r="E5" i="70" s="1"/>
  <c r="E7" i="70" s="1"/>
  <c r="E4" i="72"/>
  <c r="E4" i="67"/>
  <c r="E4" i="65"/>
  <c r="E3" i="65" s="1"/>
  <c r="E4" i="68"/>
  <c r="E3" i="68" s="1"/>
  <c r="E5" i="68" s="1"/>
  <c r="E7" i="68" s="1"/>
  <c r="H1" i="64"/>
  <c r="F1" i="64"/>
  <c r="B7" i="64"/>
  <c r="A21" i="64" s="1"/>
  <c r="B6" i="64"/>
  <c r="B5" i="64"/>
  <c r="D31" i="64" s="1"/>
  <c r="B4" i="64"/>
  <c r="B3" i="64"/>
  <c r="A1" i="64"/>
  <c r="D27" i="64"/>
  <c r="D28" i="64" s="1"/>
  <c r="D30" i="64" s="1"/>
  <c r="E18" i="64"/>
  <c r="D18" i="64"/>
  <c r="H4" i="64" s="1"/>
  <c r="T59" i="21" s="1"/>
  <c r="E3" i="72" l="1"/>
  <c r="E5" i="72" s="1"/>
  <c r="E7" i="72" s="1"/>
  <c r="B17" i="72" s="1"/>
  <c r="E20" i="71"/>
  <c r="B16" i="71"/>
  <c r="B17" i="71"/>
  <c r="B12" i="71"/>
  <c r="B14" i="71"/>
  <c r="B11" i="71"/>
  <c r="B15" i="71"/>
  <c r="G3" i="71"/>
  <c r="G4" i="71" s="1"/>
  <c r="S33" i="21" s="1"/>
  <c r="B13" i="71"/>
  <c r="B14" i="69"/>
  <c r="B13" i="69"/>
  <c r="B11" i="69"/>
  <c r="E20" i="69"/>
  <c r="B16" i="69"/>
  <c r="B15" i="69"/>
  <c r="G3" i="69"/>
  <c r="G4" i="69" s="1"/>
  <c r="S42" i="21" s="1"/>
  <c r="B17" i="69"/>
  <c r="B12" i="69"/>
  <c r="B17" i="70"/>
  <c r="G3" i="70"/>
  <c r="G4" i="70" s="1"/>
  <c r="S53" i="21" s="1"/>
  <c r="B12" i="70"/>
  <c r="B15" i="70"/>
  <c r="B13" i="70"/>
  <c r="B16" i="70"/>
  <c r="B11" i="70"/>
  <c r="E20" i="70"/>
  <c r="B14" i="70"/>
  <c r="B17" i="68"/>
  <c r="B12" i="68"/>
  <c r="B13" i="68"/>
  <c r="B15" i="68"/>
  <c r="B14" i="68"/>
  <c r="G3" i="68"/>
  <c r="G4" i="68" s="1"/>
  <c r="S75" i="21" s="1"/>
  <c r="B11" i="68"/>
  <c r="B16" i="68"/>
  <c r="E20" i="68"/>
  <c r="E19" i="67"/>
  <c r="E25" i="67" s="1"/>
  <c r="E30" i="67" s="1"/>
  <c r="E3" i="67"/>
  <c r="E5" i="67" s="1"/>
  <c r="E7" i="67" s="1"/>
  <c r="B11" i="67" s="1"/>
  <c r="H4" i="67"/>
  <c r="T66" i="21" s="1"/>
  <c r="E31" i="67"/>
  <c r="E33" i="67" s="1"/>
  <c r="D32" i="67"/>
  <c r="D33" i="67" s="1"/>
  <c r="D37" i="67" s="1"/>
  <c r="E21" i="66"/>
  <c r="E5" i="66"/>
  <c r="E7" i="66" s="1"/>
  <c r="E33" i="66"/>
  <c r="E35" i="66" s="1"/>
  <c r="D34" i="66"/>
  <c r="D35" i="66" s="1"/>
  <c r="D30" i="66"/>
  <c r="D32" i="66" s="1"/>
  <c r="E5" i="65"/>
  <c r="E7" i="65" s="1"/>
  <c r="B14" i="65" s="1"/>
  <c r="D32" i="65"/>
  <c r="D33" i="65" s="1"/>
  <c r="D37" i="65" s="1"/>
  <c r="E31" i="65"/>
  <c r="E33" i="65" s="1"/>
  <c r="E19" i="65"/>
  <c r="D32" i="64"/>
  <c r="D33" i="64" s="1"/>
  <c r="D37" i="64" s="1"/>
  <c r="E31" i="64"/>
  <c r="E33" i="64" s="1"/>
  <c r="E19" i="64"/>
  <c r="H1" i="63"/>
  <c r="F1" i="63"/>
  <c r="B7" i="63"/>
  <c r="A24" i="63" s="1"/>
  <c r="B6" i="63"/>
  <c r="B5" i="63"/>
  <c r="B4" i="63"/>
  <c r="B3" i="63"/>
  <c r="G3" i="72" l="1"/>
  <c r="G4" i="72" s="1"/>
  <c r="S61" i="21" s="1"/>
  <c r="E21" i="72"/>
  <c r="B16" i="72"/>
  <c r="B15" i="72"/>
  <c r="B12" i="72"/>
  <c r="B13" i="72"/>
  <c r="B14" i="72"/>
  <c r="B11" i="72"/>
  <c r="E37" i="67"/>
  <c r="D39" i="67" s="1"/>
  <c r="B16" i="66"/>
  <c r="B17" i="66"/>
  <c r="H66" i="21"/>
  <c r="D39" i="66"/>
  <c r="B17" i="67"/>
  <c r="B14" i="67"/>
  <c r="B12" i="67"/>
  <c r="B13" i="67"/>
  <c r="B15" i="67"/>
  <c r="E20" i="67"/>
  <c r="B16" i="67"/>
  <c r="G3" i="67"/>
  <c r="G4" i="67" s="1"/>
  <c r="S66" i="21" s="1"/>
  <c r="E27" i="66"/>
  <c r="E32" i="66" s="1"/>
  <c r="E39" i="66" s="1"/>
  <c r="H26" i="21"/>
  <c r="B14" i="66"/>
  <c r="B11" i="66"/>
  <c r="B13" i="66"/>
  <c r="E22" i="66"/>
  <c r="B15" i="66"/>
  <c r="G3" i="66"/>
  <c r="G4" i="66" s="1"/>
  <c r="S26" i="21" s="1"/>
  <c r="B12" i="66"/>
  <c r="E25" i="65"/>
  <c r="E30" i="65" s="1"/>
  <c r="E37" i="65" s="1"/>
  <c r="D39" i="65" s="1"/>
  <c r="H68" i="21"/>
  <c r="B16" i="65"/>
  <c r="B17" i="65"/>
  <c r="B11" i="65"/>
  <c r="B13" i="65"/>
  <c r="E20" i="65"/>
  <c r="B15" i="65"/>
  <c r="G3" i="65"/>
  <c r="G4" i="65" s="1"/>
  <c r="S68" i="21" s="1"/>
  <c r="B12" i="65"/>
  <c r="E25" i="64"/>
  <c r="E30" i="64" s="1"/>
  <c r="E37" i="64" s="1"/>
  <c r="D39" i="64" s="1"/>
  <c r="H59" i="21"/>
  <c r="A1" i="63"/>
  <c r="D30" i="63"/>
  <c r="H4" i="63"/>
  <c r="T48" i="21" s="1"/>
  <c r="D34" i="63"/>
  <c r="B3" i="62"/>
  <c r="H1" i="62"/>
  <c r="F1" i="62"/>
  <c r="B7" i="62"/>
  <c r="A21" i="62" s="1"/>
  <c r="B6" i="62"/>
  <c r="B5" i="62"/>
  <c r="D31" i="62" s="1"/>
  <c r="B4" i="62"/>
  <c r="A1" i="62"/>
  <c r="D27" i="62"/>
  <c r="E18" i="62"/>
  <c r="D18" i="62"/>
  <c r="H4" i="62" s="1"/>
  <c r="T28" i="21" s="1"/>
  <c r="H1" i="61"/>
  <c r="F1" i="61"/>
  <c r="B7" i="61"/>
  <c r="A21" i="61" s="1"/>
  <c r="B6" i="61"/>
  <c r="B5" i="61"/>
  <c r="B4" i="61"/>
  <c r="B3" i="61"/>
  <c r="D41" i="66" l="1"/>
  <c r="E22" i="63"/>
  <c r="H48" i="21" s="1"/>
  <c r="D31" i="63"/>
  <c r="D33" i="63" s="1"/>
  <c r="E34" i="63"/>
  <c r="E36" i="63" s="1"/>
  <c r="D35" i="63"/>
  <c r="D36" i="63" s="1"/>
  <c r="E19" i="62"/>
  <c r="D28" i="62"/>
  <c r="D30" i="62" s="1"/>
  <c r="E31" i="62"/>
  <c r="E33" i="62" s="1"/>
  <c r="D32" i="62"/>
  <c r="D33" i="62" s="1"/>
  <c r="A1" i="61"/>
  <c r="D31" i="61"/>
  <c r="D27" i="61"/>
  <c r="E18" i="61"/>
  <c r="D18" i="61"/>
  <c r="H4" i="61" s="1"/>
  <c r="T37" i="21" s="1"/>
  <c r="H1" i="60"/>
  <c r="F1" i="60"/>
  <c r="B7" i="60"/>
  <c r="A21" i="60" s="1"/>
  <c r="B6" i="60"/>
  <c r="B5" i="60"/>
  <c r="D31" i="60" s="1"/>
  <c r="B4" i="60"/>
  <c r="B3" i="60"/>
  <c r="A1" i="60"/>
  <c r="D27" i="60"/>
  <c r="E18" i="60"/>
  <c r="D18" i="60"/>
  <c r="H4" i="60" s="1"/>
  <c r="T71" i="21" s="1"/>
  <c r="E19" i="61" l="1"/>
  <c r="E28" i="63"/>
  <c r="E33" i="63" s="1"/>
  <c r="E40" i="63" s="1"/>
  <c r="E25" i="61"/>
  <c r="E30" i="61" s="1"/>
  <c r="H37" i="21"/>
  <c r="D40" i="63"/>
  <c r="E25" i="62"/>
  <c r="E30" i="62" s="1"/>
  <c r="E37" i="62" s="1"/>
  <c r="H28" i="21"/>
  <c r="D37" i="62"/>
  <c r="D28" i="61"/>
  <c r="D30" i="61" s="1"/>
  <c r="E31" i="61"/>
  <c r="E33" i="61" s="1"/>
  <c r="D32" i="61"/>
  <c r="D33" i="61" s="1"/>
  <c r="E19" i="60"/>
  <c r="H71" i="21" s="1"/>
  <c r="D28" i="60"/>
  <c r="D30" i="60" s="1"/>
  <c r="E31" i="60"/>
  <c r="E33" i="60" s="1"/>
  <c r="D32" i="60"/>
  <c r="D33" i="60" s="1"/>
  <c r="H1" i="59"/>
  <c r="F1" i="59"/>
  <c r="B7" i="59"/>
  <c r="A21" i="59" s="1"/>
  <c r="B6" i="59"/>
  <c r="B5" i="59"/>
  <c r="D31" i="59" s="1"/>
  <c r="B4" i="59"/>
  <c r="B3" i="59"/>
  <c r="A1" i="59"/>
  <c r="D27" i="59"/>
  <c r="E18" i="59"/>
  <c r="D18" i="59"/>
  <c r="H4" i="59" s="1"/>
  <c r="T39" i="21" s="1"/>
  <c r="H1" i="58"/>
  <c r="F1" i="58"/>
  <c r="B7" i="58"/>
  <c r="A21" i="58" s="1"/>
  <c r="B6" i="58"/>
  <c r="B5" i="58"/>
  <c r="D31" i="58" s="1"/>
  <c r="B4" i="58"/>
  <c r="B3" i="58"/>
  <c r="A1" i="58"/>
  <c r="D27" i="58"/>
  <c r="E18" i="58"/>
  <c r="D18" i="58"/>
  <c r="H4" i="58" s="1"/>
  <c r="T23" i="21" s="1"/>
  <c r="H1" i="57"/>
  <c r="F1" i="57"/>
  <c r="B7" i="57"/>
  <c r="A22" i="57" s="1"/>
  <c r="B6" i="57"/>
  <c r="B5" i="57"/>
  <c r="D32" i="57" s="1"/>
  <c r="B4" i="57"/>
  <c r="B3" i="57"/>
  <c r="A1" i="57"/>
  <c r="D28" i="57"/>
  <c r="E19" i="57"/>
  <c r="D19" i="57"/>
  <c r="H4" i="57" s="1"/>
  <c r="T32" i="21" s="1"/>
  <c r="H1" i="56"/>
  <c r="F1" i="56"/>
  <c r="B7" i="56"/>
  <c r="A21" i="56" s="1"/>
  <c r="B6" i="56"/>
  <c r="B5" i="56"/>
  <c r="D31" i="56" s="1"/>
  <c r="B4" i="56"/>
  <c r="B3" i="56"/>
  <c r="A1" i="56"/>
  <c r="D27" i="56"/>
  <c r="E18" i="56"/>
  <c r="D18" i="56"/>
  <c r="H1" i="55"/>
  <c r="F1" i="55"/>
  <c r="B7" i="55"/>
  <c r="A23" i="55" s="1"/>
  <c r="B6" i="55"/>
  <c r="B5" i="55"/>
  <c r="D33" i="55" s="1"/>
  <c r="B4" i="55"/>
  <c r="B3" i="55"/>
  <c r="A1" i="55"/>
  <c r="D29" i="55"/>
  <c r="E20" i="55"/>
  <c r="D20" i="55"/>
  <c r="H4" i="55" s="1"/>
  <c r="T69" i="21" s="1"/>
  <c r="K80" i="21"/>
  <c r="D27" i="54"/>
  <c r="D28" i="54" s="1"/>
  <c r="D30" i="54" s="1"/>
  <c r="E18" i="54"/>
  <c r="D18" i="54"/>
  <c r="E19" i="54" s="1"/>
  <c r="D31" i="54"/>
  <c r="H1" i="53"/>
  <c r="F1" i="53"/>
  <c r="B7" i="53"/>
  <c r="A21" i="53" s="1"/>
  <c r="B6" i="53"/>
  <c r="B5" i="53"/>
  <c r="D31" i="53" s="1"/>
  <c r="B4" i="53"/>
  <c r="B3" i="53"/>
  <c r="A1" i="53"/>
  <c r="AL56" i="21"/>
  <c r="AM56" i="21"/>
  <c r="D27" i="53"/>
  <c r="D28" i="53" s="1"/>
  <c r="D30" i="53" s="1"/>
  <c r="E18" i="53"/>
  <c r="D18" i="53"/>
  <c r="H4" i="53" s="1"/>
  <c r="T49" i="21" s="1"/>
  <c r="H1" i="52"/>
  <c r="F1" i="52"/>
  <c r="B7" i="52"/>
  <c r="A21" i="52" s="1"/>
  <c r="B6" i="52"/>
  <c r="B5" i="52"/>
  <c r="B4" i="52"/>
  <c r="B3" i="52"/>
  <c r="A1" i="52"/>
  <c r="E20" i="57" l="1"/>
  <c r="H32" i="21" s="1"/>
  <c r="E25" i="54"/>
  <c r="E30" i="54" s="1"/>
  <c r="H27" i="21"/>
  <c r="E37" i="61"/>
  <c r="D42" i="63"/>
  <c r="E19" i="59"/>
  <c r="E19" i="58"/>
  <c r="D39" i="62"/>
  <c r="D37" i="61"/>
  <c r="E25" i="60"/>
  <c r="E30" i="60" s="1"/>
  <c r="E37" i="60" s="1"/>
  <c r="D37" i="60"/>
  <c r="D28" i="59"/>
  <c r="D30" i="59" s="1"/>
  <c r="E31" i="59"/>
  <c r="E33" i="59" s="1"/>
  <c r="D32" i="59"/>
  <c r="D33" i="59" s="1"/>
  <c r="D28" i="58"/>
  <c r="D30" i="58" s="1"/>
  <c r="E31" i="58"/>
  <c r="E33" i="58" s="1"/>
  <c r="D32" i="58"/>
  <c r="D33" i="58" s="1"/>
  <c r="D29" i="57"/>
  <c r="D31" i="57" s="1"/>
  <c r="E32" i="57"/>
  <c r="E34" i="57" s="1"/>
  <c r="D33" i="57"/>
  <c r="D34" i="57" s="1"/>
  <c r="E19" i="56"/>
  <c r="H4" i="56"/>
  <c r="T51" i="21" s="1"/>
  <c r="D28" i="56"/>
  <c r="D30" i="56" s="1"/>
  <c r="E31" i="56"/>
  <c r="E33" i="56" s="1"/>
  <c r="D32" i="56"/>
  <c r="D33" i="56" s="1"/>
  <c r="D34" i="55"/>
  <c r="D35" i="55" s="1"/>
  <c r="E33" i="55"/>
  <c r="E35" i="55" s="1"/>
  <c r="E21" i="55"/>
  <c r="D30" i="55"/>
  <c r="D32" i="55" s="1"/>
  <c r="H4" i="54"/>
  <c r="T27" i="21" s="1"/>
  <c r="E31" i="54"/>
  <c r="E33" i="54" s="1"/>
  <c r="D32" i="54"/>
  <c r="D33" i="54" s="1"/>
  <c r="D37" i="54" s="1"/>
  <c r="E19" i="53"/>
  <c r="D32" i="53"/>
  <c r="D33" i="53" s="1"/>
  <c r="D37" i="53" s="1"/>
  <c r="E31" i="53"/>
  <c r="E33" i="53" s="1"/>
  <c r="D27" i="52"/>
  <c r="D28" i="52" s="1"/>
  <c r="D30" i="52" s="1"/>
  <c r="E18" i="52"/>
  <c r="D18" i="52"/>
  <c r="H4" i="52" s="1"/>
  <c r="T56" i="21" s="1"/>
  <c r="D31" i="52"/>
  <c r="H1" i="51"/>
  <c r="F1" i="51"/>
  <c r="B7" i="51"/>
  <c r="A21" i="51" s="1"/>
  <c r="B6" i="51"/>
  <c r="B5" i="51"/>
  <c r="D31" i="51" s="1"/>
  <c r="B4" i="51"/>
  <c r="B3" i="51"/>
  <c r="A1" i="51"/>
  <c r="D27" i="51"/>
  <c r="D28" i="51" s="1"/>
  <c r="E18" i="51"/>
  <c r="D18" i="51"/>
  <c r="H4" i="51" s="1"/>
  <c r="T62" i="21" s="1"/>
  <c r="H1" i="49"/>
  <c r="F1" i="49"/>
  <c r="B7" i="49"/>
  <c r="A22" i="49" s="1"/>
  <c r="B6" i="49"/>
  <c r="B5" i="49"/>
  <c r="D32" i="49" s="1"/>
  <c r="B4" i="49"/>
  <c r="B3" i="49"/>
  <c r="A1" i="49"/>
  <c r="H1" i="50"/>
  <c r="F1" i="50"/>
  <c r="B7" i="50"/>
  <c r="A21" i="50" s="1"/>
  <c r="B6" i="50"/>
  <c r="B5" i="50"/>
  <c r="D31" i="50" s="1"/>
  <c r="B4" i="50"/>
  <c r="B3" i="50"/>
  <c r="A1" i="50"/>
  <c r="D28" i="50"/>
  <c r="D30" i="50" s="1"/>
  <c r="D27" i="50"/>
  <c r="E18" i="50"/>
  <c r="D18" i="50"/>
  <c r="H4" i="50" s="1"/>
  <c r="T52" i="21" s="1"/>
  <c r="D28" i="49"/>
  <c r="E19" i="49"/>
  <c r="D19" i="49"/>
  <c r="H4" i="49" s="1"/>
  <c r="T60" i="21" s="1"/>
  <c r="E26" i="57" l="1"/>
  <c r="E31" i="57" s="1"/>
  <c r="E37" i="54"/>
  <c r="D39" i="54" s="1"/>
  <c r="E25" i="59"/>
  <c r="E30" i="59" s="1"/>
  <c r="E37" i="59" s="1"/>
  <c r="H39" i="21"/>
  <c r="E38" i="57"/>
  <c r="D39" i="61"/>
  <c r="E25" i="56"/>
  <c r="E30" i="56" s="1"/>
  <c r="E37" i="56" s="1"/>
  <c r="H51" i="21"/>
  <c r="E25" i="58"/>
  <c r="E30" i="58" s="1"/>
  <c r="E37" i="58" s="1"/>
  <c r="H23" i="21"/>
  <c r="E25" i="53"/>
  <c r="E30" i="53" s="1"/>
  <c r="E37" i="53" s="1"/>
  <c r="D39" i="53" s="1"/>
  <c r="H49" i="21"/>
  <c r="E27" i="55"/>
  <c r="E32" i="55" s="1"/>
  <c r="E39" i="55" s="1"/>
  <c r="H69" i="21"/>
  <c r="D39" i="60"/>
  <c r="D37" i="59"/>
  <c r="D37" i="58"/>
  <c r="D38" i="57"/>
  <c r="D37" i="56"/>
  <c r="D39" i="55"/>
  <c r="E19" i="51"/>
  <c r="E19" i="52"/>
  <c r="D32" i="52"/>
  <c r="D33" i="52" s="1"/>
  <c r="D37" i="52" s="1"/>
  <c r="E31" i="52"/>
  <c r="E33" i="52" s="1"/>
  <c r="E31" i="51"/>
  <c r="E33" i="51" s="1"/>
  <c r="D30" i="51"/>
  <c r="D32" i="51"/>
  <c r="D33" i="51" s="1"/>
  <c r="D32" i="50"/>
  <c r="D33" i="50" s="1"/>
  <c r="D37" i="50" s="1"/>
  <c r="E31" i="50"/>
  <c r="E33" i="50" s="1"/>
  <c r="E19" i="50"/>
  <c r="H52" i="21" s="1"/>
  <c r="D29" i="49"/>
  <c r="D31" i="49" s="1"/>
  <c r="E32" i="49"/>
  <c r="E34" i="49" s="1"/>
  <c r="D33" i="49"/>
  <c r="D34" i="49" s="1"/>
  <c r="E20" i="49"/>
  <c r="H60" i="21" s="1"/>
  <c r="D39" i="59" l="1"/>
  <c r="D40" i="57"/>
  <c r="D38" i="49"/>
  <c r="E4" i="49"/>
  <c r="E3" i="49" s="1"/>
  <c r="E5" i="49" s="1"/>
  <c r="E7" i="49" s="1"/>
  <c r="E4" i="60"/>
  <c r="E3" i="60" s="1"/>
  <c r="E5" i="60" s="1"/>
  <c r="E7" i="60" s="1"/>
  <c r="B11" i="60" s="1"/>
  <c r="E4" i="56"/>
  <c r="E3" i="56" s="1"/>
  <c r="E5" i="56" s="1"/>
  <c r="E7" i="56" s="1"/>
  <c r="B15" i="56" s="1"/>
  <c r="E4" i="55"/>
  <c r="E3" i="55" s="1"/>
  <c r="E5" i="55" s="1"/>
  <c r="E7" i="55" s="1"/>
  <c r="E4" i="51"/>
  <c r="E3" i="51" s="1"/>
  <c r="E5" i="51" s="1"/>
  <c r="E7" i="51" s="1"/>
  <c r="B15" i="51" s="1"/>
  <c r="E4" i="63"/>
  <c r="E3" i="63" s="1"/>
  <c r="E5" i="63" s="1"/>
  <c r="E7" i="63" s="1"/>
  <c r="E4" i="50"/>
  <c r="E3" i="50" s="1"/>
  <c r="E5" i="50" s="1"/>
  <c r="E7" i="50" s="1"/>
  <c r="B17" i="50" s="1"/>
  <c r="E4" i="57"/>
  <c r="E3" i="57" s="1"/>
  <c r="E5" i="57" s="1"/>
  <c r="E7" i="57" s="1"/>
  <c r="E4" i="59"/>
  <c r="E3" i="59" s="1"/>
  <c r="E5" i="59" s="1"/>
  <c r="E7" i="59" s="1"/>
  <c r="B16" i="59" s="1"/>
  <c r="E5" i="54"/>
  <c r="E7" i="54" s="1"/>
  <c r="B11" i="54" s="1"/>
  <c r="E4" i="64"/>
  <c r="E3" i="64" s="1"/>
  <c r="E5" i="64" s="1"/>
  <c r="E7" i="64" s="1"/>
  <c r="D39" i="56"/>
  <c r="D39" i="58"/>
  <c r="E25" i="51"/>
  <c r="E30" i="51" s="1"/>
  <c r="E37" i="51" s="1"/>
  <c r="H62" i="21"/>
  <c r="E4" i="53"/>
  <c r="E3" i="53" s="1"/>
  <c r="E5" i="53" s="1"/>
  <c r="E7" i="53" s="1"/>
  <c r="B14" i="53" s="1"/>
  <c r="D41" i="55"/>
  <c r="E4" i="62"/>
  <c r="E3" i="62" s="1"/>
  <c r="E5" i="62" s="1"/>
  <c r="E7" i="62" s="1"/>
  <c r="E4" i="61"/>
  <c r="E3" i="61" s="1"/>
  <c r="E5" i="61" s="1"/>
  <c r="E7" i="61" s="1"/>
  <c r="E4" i="58"/>
  <c r="E3" i="58" s="1"/>
  <c r="E5" i="58" s="1"/>
  <c r="E7" i="58" s="1"/>
  <c r="E26" i="49"/>
  <c r="E31" i="49" s="1"/>
  <c r="E38" i="49" s="1"/>
  <c r="E25" i="52"/>
  <c r="E30" i="52" s="1"/>
  <c r="E37" i="52" s="1"/>
  <c r="D39" i="52" s="1"/>
  <c r="H56" i="21"/>
  <c r="D37" i="51"/>
  <c r="E25" i="50"/>
  <c r="E30" i="50" s="1"/>
  <c r="E37" i="50" s="1"/>
  <c r="D39" i="50" s="1"/>
  <c r="H1" i="48"/>
  <c r="F1" i="48"/>
  <c r="E4" i="48"/>
  <c r="E3" i="48" s="1"/>
  <c r="E5" i="48" s="1"/>
  <c r="E7" i="48" s="1"/>
  <c r="B7" i="48"/>
  <c r="A21" i="48" s="1"/>
  <c r="B6" i="48"/>
  <c r="B5" i="48"/>
  <c r="D31" i="48" s="1"/>
  <c r="B4" i="48"/>
  <c r="B3" i="48"/>
  <c r="A1" i="48"/>
  <c r="D27" i="48"/>
  <c r="E18" i="48"/>
  <c r="D18" i="48"/>
  <c r="H4" i="48" s="1"/>
  <c r="Y63" i="21"/>
  <c r="Z63" i="21"/>
  <c r="AA63" i="21"/>
  <c r="AB63" i="21"/>
  <c r="AC63" i="21"/>
  <c r="AD63" i="21"/>
  <c r="AE63" i="21"/>
  <c r="AF63" i="21"/>
  <c r="H1" i="47"/>
  <c r="F1" i="47"/>
  <c r="E4" i="47"/>
  <c r="E3" i="47" s="1"/>
  <c r="E5" i="47" s="1"/>
  <c r="E7" i="47" s="1"/>
  <c r="B7" i="47"/>
  <c r="A21" i="47" s="1"/>
  <c r="B6" i="47"/>
  <c r="B5" i="47"/>
  <c r="D31" i="47" s="1"/>
  <c r="B4" i="47"/>
  <c r="B3" i="47"/>
  <c r="A1" i="47"/>
  <c r="D27" i="47"/>
  <c r="E18" i="47"/>
  <c r="D18" i="47"/>
  <c r="H4" i="47" s="1"/>
  <c r="T65" i="21" s="1"/>
  <c r="H1" i="46"/>
  <c r="F1" i="46"/>
  <c r="E4" i="46"/>
  <c r="E3" i="46" s="1"/>
  <c r="B7" i="46"/>
  <c r="A22" i="46" s="1"/>
  <c r="B6" i="46"/>
  <c r="B5" i="46"/>
  <c r="D32" i="46" s="1"/>
  <c r="B4" i="46"/>
  <c r="B3" i="46"/>
  <c r="A1" i="46"/>
  <c r="D28" i="46"/>
  <c r="E19" i="46"/>
  <c r="D19" i="46"/>
  <c r="H4" i="46" s="1"/>
  <c r="T64" i="21" s="1"/>
  <c r="H1" i="45"/>
  <c r="F1" i="45"/>
  <c r="E4" i="45"/>
  <c r="E3" i="45" s="1"/>
  <c r="B7" i="45"/>
  <c r="A21" i="45" s="1"/>
  <c r="B6" i="45"/>
  <c r="B5" i="45"/>
  <c r="D31" i="45" s="1"/>
  <c r="B4" i="45"/>
  <c r="B3" i="45"/>
  <c r="A1" i="45"/>
  <c r="D27" i="45"/>
  <c r="D28" i="45" s="1"/>
  <c r="D30" i="45" s="1"/>
  <c r="E18" i="45"/>
  <c r="D18" i="45"/>
  <c r="H4" i="45" s="1"/>
  <c r="T58" i="21" s="1"/>
  <c r="B13" i="57" l="1"/>
  <c r="B17" i="57"/>
  <c r="E22" i="55"/>
  <c r="B17" i="55"/>
  <c r="B11" i="49"/>
  <c r="B17" i="49"/>
  <c r="D40" i="49"/>
  <c r="B16" i="55"/>
  <c r="B17" i="60"/>
  <c r="B16" i="60"/>
  <c r="B13" i="60"/>
  <c r="G3" i="60"/>
  <c r="G4" i="60" s="1"/>
  <c r="S71" i="21" s="1"/>
  <c r="B15" i="60"/>
  <c r="B14" i="60"/>
  <c r="B12" i="50"/>
  <c r="B12" i="54"/>
  <c r="B17" i="56"/>
  <c r="E20" i="54"/>
  <c r="B11" i="56"/>
  <c r="B13" i="53"/>
  <c r="G3" i="57"/>
  <c r="G4" i="57" s="1"/>
  <c r="S32" i="21" s="1"/>
  <c r="B11" i="51"/>
  <c r="B12" i="57"/>
  <c r="B11" i="55"/>
  <c r="E21" i="57"/>
  <c r="B14" i="57"/>
  <c r="B15" i="50"/>
  <c r="B14" i="55"/>
  <c r="B12" i="56"/>
  <c r="E20" i="60"/>
  <c r="B11" i="50"/>
  <c r="B15" i="55"/>
  <c r="B14" i="56"/>
  <c r="B14" i="50"/>
  <c r="B13" i="55"/>
  <c r="B11" i="57"/>
  <c r="B17" i="54"/>
  <c r="B15" i="54"/>
  <c r="B16" i="54"/>
  <c r="B13" i="54"/>
  <c r="B14" i="54"/>
  <c r="B11" i="59"/>
  <c r="B17" i="51"/>
  <c r="B14" i="59"/>
  <c r="G3" i="50"/>
  <c r="G4" i="50" s="1"/>
  <c r="S52" i="21" s="1"/>
  <c r="E20" i="56"/>
  <c r="B12" i="59"/>
  <c r="E20" i="50"/>
  <c r="E20" i="51"/>
  <c r="G3" i="56"/>
  <c r="G4" i="56" s="1"/>
  <c r="S51" i="21" s="1"/>
  <c r="E20" i="59"/>
  <c r="B15" i="59"/>
  <c r="B13" i="50"/>
  <c r="G3" i="51"/>
  <c r="G4" i="51" s="1"/>
  <c r="S62" i="21" s="1"/>
  <c r="B16" i="53"/>
  <c r="B12" i="55"/>
  <c r="B13" i="56"/>
  <c r="G3" i="59"/>
  <c r="G4" i="59" s="1"/>
  <c r="S39" i="21" s="1"/>
  <c r="B12" i="60"/>
  <c r="B13" i="51"/>
  <c r="B16" i="50"/>
  <c r="B14" i="51"/>
  <c r="B16" i="51"/>
  <c r="B16" i="56"/>
  <c r="B13" i="59"/>
  <c r="B12" i="51"/>
  <c r="B17" i="59"/>
  <c r="G3" i="54"/>
  <c r="G4" i="54" s="1"/>
  <c r="S27" i="21" s="1"/>
  <c r="G3" i="55"/>
  <c r="G4" i="55" s="1"/>
  <c r="S69" i="21" s="1"/>
  <c r="B15" i="57"/>
  <c r="B16" i="57"/>
  <c r="B15" i="64"/>
  <c r="B11" i="64"/>
  <c r="G3" i="64"/>
  <c r="G4" i="64" s="1"/>
  <c r="S59" i="21" s="1"/>
  <c r="B16" i="64"/>
  <c r="B17" i="64"/>
  <c r="B12" i="64"/>
  <c r="B13" i="64"/>
  <c r="E20" i="64"/>
  <c r="B14" i="64"/>
  <c r="G3" i="53"/>
  <c r="G4" i="53" s="1"/>
  <c r="S49" i="21" s="1"/>
  <c r="B17" i="53"/>
  <c r="E20" i="53"/>
  <c r="B15" i="53"/>
  <c r="T47" i="21"/>
  <c r="B11" i="53"/>
  <c r="B12" i="53"/>
  <c r="B15" i="63"/>
  <c r="E23" i="63"/>
  <c r="B16" i="63"/>
  <c r="B17" i="63"/>
  <c r="B12" i="63"/>
  <c r="G3" i="63"/>
  <c r="G4" i="63" s="1"/>
  <c r="S48" i="21" s="1"/>
  <c r="B11" i="63"/>
  <c r="B14" i="63"/>
  <c r="B13" i="63"/>
  <c r="B14" i="62"/>
  <c r="G3" i="62"/>
  <c r="G4" i="62" s="1"/>
  <c r="S28" i="21" s="1"/>
  <c r="B13" i="62"/>
  <c r="B15" i="62"/>
  <c r="E20" i="62"/>
  <c r="B12" i="62"/>
  <c r="B11" i="62"/>
  <c r="B17" i="62"/>
  <c r="B16" i="62"/>
  <c r="B15" i="61"/>
  <c r="B17" i="61"/>
  <c r="B12" i="61"/>
  <c r="B14" i="61"/>
  <c r="B16" i="61"/>
  <c r="B11" i="61"/>
  <c r="B13" i="61"/>
  <c r="G3" i="61"/>
  <c r="G4" i="61" s="1"/>
  <c r="S37" i="21" s="1"/>
  <c r="E20" i="61"/>
  <c r="B16" i="58"/>
  <c r="G3" i="58"/>
  <c r="G4" i="58" s="1"/>
  <c r="S23" i="21" s="1"/>
  <c r="B15" i="58"/>
  <c r="E20" i="58"/>
  <c r="B12" i="58"/>
  <c r="B11" i="58"/>
  <c r="B17" i="58"/>
  <c r="B14" i="58"/>
  <c r="B13" i="58"/>
  <c r="G3" i="49"/>
  <c r="G4" i="49" s="1"/>
  <c r="S60" i="21" s="1"/>
  <c r="E19" i="48"/>
  <c r="E20" i="48" s="1"/>
  <c r="E19" i="47"/>
  <c r="E20" i="47" s="1"/>
  <c r="D39" i="51"/>
  <c r="E21" i="49"/>
  <c r="B16" i="49"/>
  <c r="E20" i="46"/>
  <c r="E26" i="46" s="1"/>
  <c r="E31" i="46" s="1"/>
  <c r="B15" i="49"/>
  <c r="B12" i="49"/>
  <c r="B14" i="49"/>
  <c r="B13" i="49"/>
  <c r="B15" i="48"/>
  <c r="B11" i="48"/>
  <c r="B14" i="48"/>
  <c r="B16" i="48"/>
  <c r="B17" i="48"/>
  <c r="B13" i="48"/>
  <c r="G3" i="48"/>
  <c r="G4" i="48" s="1"/>
  <c r="S47" i="21" s="1"/>
  <c r="B12" i="48"/>
  <c r="D28" i="48"/>
  <c r="D30" i="48" s="1"/>
  <c r="E31" i="48"/>
  <c r="E33" i="48" s="1"/>
  <c r="D32" i="48"/>
  <c r="D33" i="48" s="1"/>
  <c r="B15" i="47"/>
  <c r="B11" i="47"/>
  <c r="B14" i="47"/>
  <c r="B17" i="47"/>
  <c r="B13" i="47"/>
  <c r="G3" i="47"/>
  <c r="G4" i="47" s="1"/>
  <c r="S65" i="21" s="1"/>
  <c r="B16" i="47"/>
  <c r="B12" i="47"/>
  <c r="D28" i="47"/>
  <c r="D30" i="47" s="1"/>
  <c r="E31" i="47"/>
  <c r="E33" i="47" s="1"/>
  <c r="D32" i="47"/>
  <c r="D33" i="47" s="1"/>
  <c r="E5" i="46"/>
  <c r="E7" i="46" s="1"/>
  <c r="D33" i="46"/>
  <c r="D34" i="46" s="1"/>
  <c r="E32" i="46"/>
  <c r="E34" i="46" s="1"/>
  <c r="D29" i="46"/>
  <c r="D31" i="46" s="1"/>
  <c r="E5" i="45"/>
  <c r="E7" i="45" s="1"/>
  <c r="B15" i="45" s="1"/>
  <c r="E31" i="45"/>
  <c r="E33" i="45" s="1"/>
  <c r="D32" i="45"/>
  <c r="D33" i="45" s="1"/>
  <c r="D37" i="45" s="1"/>
  <c r="E19" i="45"/>
  <c r="H58" i="21" s="1"/>
  <c r="H1" i="44"/>
  <c r="F1" i="44"/>
  <c r="B7" i="44"/>
  <c r="A21" i="44" s="1"/>
  <c r="B6" i="44"/>
  <c r="B5" i="44"/>
  <c r="D31" i="44" s="1"/>
  <c r="B4" i="44"/>
  <c r="B3" i="44"/>
  <c r="A1" i="44"/>
  <c r="D27" i="44"/>
  <c r="E18" i="44"/>
  <c r="D18" i="44"/>
  <c r="H4" i="44" s="1"/>
  <c r="T63" i="21" s="1"/>
  <c r="H1" i="43"/>
  <c r="F1" i="43"/>
  <c r="E4" i="43"/>
  <c r="E3" i="43" s="1"/>
  <c r="B7" i="43"/>
  <c r="A21" i="43" s="1"/>
  <c r="B6" i="43"/>
  <c r="B5" i="43"/>
  <c r="B4" i="43"/>
  <c r="B3" i="43"/>
  <c r="A1" i="43"/>
  <c r="B15" i="46" l="1"/>
  <c r="B17" i="46"/>
  <c r="E19" i="44"/>
  <c r="H63" i="21" s="1"/>
  <c r="E25" i="47"/>
  <c r="E30" i="47" s="1"/>
  <c r="E37" i="47" s="1"/>
  <c r="H65" i="21"/>
  <c r="H64" i="21"/>
  <c r="E25" i="48"/>
  <c r="E30" i="48" s="1"/>
  <c r="E37" i="48" s="1"/>
  <c r="H47" i="21"/>
  <c r="E38" i="46"/>
  <c r="E25" i="45"/>
  <c r="E30" i="45" s="1"/>
  <c r="E37" i="45" s="1"/>
  <c r="D39" i="45" s="1"/>
  <c r="E21" i="46"/>
  <c r="B16" i="46"/>
  <c r="G3" i="46"/>
  <c r="G4" i="46" s="1"/>
  <c r="S64" i="21" s="1"/>
  <c r="B14" i="46"/>
  <c r="B12" i="46"/>
  <c r="B13" i="46"/>
  <c r="B11" i="46"/>
  <c r="B12" i="45"/>
  <c r="B14" i="45"/>
  <c r="G3" i="45"/>
  <c r="G4" i="45" s="1"/>
  <c r="S58" i="21" s="1"/>
  <c r="B11" i="45"/>
  <c r="B17" i="45"/>
  <c r="B16" i="45"/>
  <c r="B13" i="45"/>
  <c r="D37" i="48"/>
  <c r="D37" i="47"/>
  <c r="D38" i="46"/>
  <c r="E20" i="45"/>
  <c r="D28" i="44"/>
  <c r="D30" i="44" s="1"/>
  <c r="E31" i="44"/>
  <c r="E33" i="44" s="1"/>
  <c r="D32" i="44"/>
  <c r="D33" i="44" s="1"/>
  <c r="D31" i="43"/>
  <c r="D27" i="43"/>
  <c r="E18" i="43"/>
  <c r="D18" i="43"/>
  <c r="H4" i="43" s="1"/>
  <c r="T54" i="21" s="1"/>
  <c r="E5" i="43"/>
  <c r="E7" i="43" s="1"/>
  <c r="E4" i="41"/>
  <c r="E3" i="41" s="1"/>
  <c r="E5" i="41" s="1"/>
  <c r="E7" i="41" s="1"/>
  <c r="H1" i="42"/>
  <c r="F1" i="42"/>
  <c r="B7" i="42"/>
  <c r="A26" i="42" s="1"/>
  <c r="B6" i="42"/>
  <c r="B5" i="42"/>
  <c r="D36" i="42" s="1"/>
  <c r="B4" i="42"/>
  <c r="B3" i="42"/>
  <c r="A1" i="42"/>
  <c r="D32" i="42"/>
  <c r="E23" i="42"/>
  <c r="D23" i="42"/>
  <c r="H4" i="42" s="1"/>
  <c r="T57" i="21" s="1"/>
  <c r="BB2" i="21"/>
  <c r="C84" i="21"/>
  <c r="W2" i="21"/>
  <c r="AY2" i="21" s="1"/>
  <c r="AW2" i="21"/>
  <c r="H1" i="41"/>
  <c r="F1" i="41"/>
  <c r="B7" i="41"/>
  <c r="A21" i="41" s="1"/>
  <c r="B6" i="41"/>
  <c r="B5" i="41"/>
  <c r="D31" i="41" s="1"/>
  <c r="B4" i="41"/>
  <c r="A1" i="41"/>
  <c r="B3" i="41"/>
  <c r="D27" i="41"/>
  <c r="D28" i="41" s="1"/>
  <c r="E18" i="41"/>
  <c r="D18" i="41"/>
  <c r="H4" i="41" s="1"/>
  <c r="T22" i="21" s="1"/>
  <c r="H1" i="40"/>
  <c r="F1" i="40"/>
  <c r="E4" i="40"/>
  <c r="E3" i="40" s="1"/>
  <c r="E5" i="40" s="1"/>
  <c r="E7" i="40" s="1"/>
  <c r="B7" i="40"/>
  <c r="A21" i="40" s="1"/>
  <c r="B6" i="40"/>
  <c r="B5" i="40"/>
  <c r="D31" i="40" s="1"/>
  <c r="B4" i="40"/>
  <c r="B3" i="40"/>
  <c r="A1" i="40"/>
  <c r="D27" i="40"/>
  <c r="E18" i="40"/>
  <c r="D18" i="40"/>
  <c r="H1" i="39"/>
  <c r="F1" i="39"/>
  <c r="E4" i="39"/>
  <c r="E3" i="39" s="1"/>
  <c r="E5" i="39" s="1"/>
  <c r="E7" i="39" s="1"/>
  <c r="B7" i="39"/>
  <c r="A21" i="39" s="1"/>
  <c r="B6" i="39"/>
  <c r="B5" i="39"/>
  <c r="D31" i="39" s="1"/>
  <c r="B4" i="39"/>
  <c r="A1" i="39"/>
  <c r="B3" i="39"/>
  <c r="D27" i="39"/>
  <c r="E18" i="39"/>
  <c r="D18" i="39"/>
  <c r="H4" i="39" s="1"/>
  <c r="T20" i="21" s="1"/>
  <c r="H1" i="38"/>
  <c r="F1" i="38"/>
  <c r="E4" i="38"/>
  <c r="E3" i="38" s="1"/>
  <c r="E5" i="38" s="1"/>
  <c r="E7" i="38" s="1"/>
  <c r="B7" i="38"/>
  <c r="A21" i="38" s="1"/>
  <c r="B6" i="38"/>
  <c r="B5" i="38"/>
  <c r="D31" i="38" s="1"/>
  <c r="B4" i="38"/>
  <c r="B3" i="38"/>
  <c r="A1" i="38"/>
  <c r="D27" i="38"/>
  <c r="E18" i="38"/>
  <c r="D18" i="38"/>
  <c r="H4" i="38" s="1"/>
  <c r="H1" i="37"/>
  <c r="F1" i="37"/>
  <c r="E4" i="37"/>
  <c r="E3" i="37" s="1"/>
  <c r="E5" i="37" s="1"/>
  <c r="E7" i="37" s="1"/>
  <c r="B7" i="37"/>
  <c r="A21" i="37" s="1"/>
  <c r="B6" i="37"/>
  <c r="B5" i="37"/>
  <c r="D31" i="37" s="1"/>
  <c r="B4" i="37"/>
  <c r="B3" i="37"/>
  <c r="A1" i="37"/>
  <c r="D27" i="37"/>
  <c r="E18" i="37"/>
  <c r="E19" i="37" s="1"/>
  <c r="E25" i="37" s="1"/>
  <c r="E30" i="37" s="1"/>
  <c r="D18" i="37"/>
  <c r="H4" i="37"/>
  <c r="H1" i="36"/>
  <c r="F1" i="36"/>
  <c r="E4" i="36"/>
  <c r="E5" i="36" s="1"/>
  <c r="E7" i="36" s="1"/>
  <c r="B17" i="36" s="1"/>
  <c r="B7" i="36"/>
  <c r="A22" i="36" s="1"/>
  <c r="B6" i="36"/>
  <c r="B5" i="36"/>
  <c r="D32" i="36" s="1"/>
  <c r="B4" i="36"/>
  <c r="B3" i="36"/>
  <c r="A1" i="36"/>
  <c r="D28" i="36"/>
  <c r="E19" i="36"/>
  <c r="D19" i="36"/>
  <c r="H1" i="35"/>
  <c r="F1" i="35"/>
  <c r="E4" i="35"/>
  <c r="E3" i="35" s="1"/>
  <c r="E5" i="35" s="1"/>
  <c r="E7" i="35" s="1"/>
  <c r="B3" i="35"/>
  <c r="B6" i="35"/>
  <c r="B5" i="35"/>
  <c r="D31" i="35" s="1"/>
  <c r="B7" i="35"/>
  <c r="A21" i="35" s="1"/>
  <c r="B4" i="35"/>
  <c r="A1" i="35"/>
  <c r="D27" i="35"/>
  <c r="E18" i="35"/>
  <c r="D18" i="35"/>
  <c r="H4" i="35" s="1"/>
  <c r="B3" i="34"/>
  <c r="H1" i="34"/>
  <c r="F1" i="34"/>
  <c r="E4" i="34"/>
  <c r="E3" i="34" s="1"/>
  <c r="B7" i="34"/>
  <c r="A21" i="34" s="1"/>
  <c r="B6" i="34"/>
  <c r="B5" i="34"/>
  <c r="D31" i="34" s="1"/>
  <c r="B4" i="34"/>
  <c r="A1" i="34"/>
  <c r="D27" i="34"/>
  <c r="E18" i="34"/>
  <c r="D18" i="34"/>
  <c r="H4" i="34" s="1"/>
  <c r="H1" i="33"/>
  <c r="F1" i="33"/>
  <c r="E4" i="33"/>
  <c r="E3" i="33" s="1"/>
  <c r="E5" i="33" s="1"/>
  <c r="E7" i="33" s="1"/>
  <c r="B7" i="33"/>
  <c r="A21" i="33" s="1"/>
  <c r="B6" i="33"/>
  <c r="B5" i="33"/>
  <c r="D31" i="33" s="1"/>
  <c r="B4" i="33"/>
  <c r="B3" i="33"/>
  <c r="A1" i="33"/>
  <c r="D27" i="33"/>
  <c r="E18" i="33"/>
  <c r="D18" i="33"/>
  <c r="H4" i="33" s="1"/>
  <c r="H1" i="32"/>
  <c r="F1" i="32"/>
  <c r="E4" i="32"/>
  <c r="E3" i="32" s="1"/>
  <c r="E5" i="32" s="1"/>
  <c r="E7" i="32" s="1"/>
  <c r="B7" i="32"/>
  <c r="A21" i="32" s="1"/>
  <c r="B6" i="32"/>
  <c r="B5" i="32"/>
  <c r="D31" i="32" s="1"/>
  <c r="B4" i="32"/>
  <c r="B3" i="32"/>
  <c r="A1" i="32"/>
  <c r="D27" i="32"/>
  <c r="E18" i="32"/>
  <c r="D18" i="32"/>
  <c r="H4" i="32" s="1"/>
  <c r="E4" i="31"/>
  <c r="E3" i="31" s="1"/>
  <c r="E5" i="31" s="1"/>
  <c r="E7" i="31" s="1"/>
  <c r="H1" i="31"/>
  <c r="F1" i="31"/>
  <c r="B7" i="31"/>
  <c r="A21" i="31" s="1"/>
  <c r="B6" i="31"/>
  <c r="B5" i="31"/>
  <c r="D31" i="31" s="1"/>
  <c r="D32" i="31" s="1"/>
  <c r="D33" i="31" s="1"/>
  <c r="B4" i="31"/>
  <c r="B3" i="31"/>
  <c r="A1" i="31"/>
  <c r="D27" i="31"/>
  <c r="E18" i="31"/>
  <c r="D18" i="31"/>
  <c r="H4" i="31" s="1"/>
  <c r="H1" i="30"/>
  <c r="F1" i="30"/>
  <c r="E4" i="30"/>
  <c r="E3" i="30" s="1"/>
  <c r="E5" i="30" s="1"/>
  <c r="E7" i="30" s="1"/>
  <c r="B7" i="30"/>
  <c r="A21" i="30" s="1"/>
  <c r="B6" i="30"/>
  <c r="B5" i="30"/>
  <c r="D31" i="30" s="1"/>
  <c r="B4" i="30"/>
  <c r="B3" i="30"/>
  <c r="A1" i="30"/>
  <c r="D27" i="30"/>
  <c r="E18" i="30"/>
  <c r="D18" i="30"/>
  <c r="H4" i="30" s="1"/>
  <c r="T11" i="21" s="1"/>
  <c r="H1" i="29"/>
  <c r="F1" i="29"/>
  <c r="E4" i="29"/>
  <c r="E3" i="29" s="1"/>
  <c r="E5" i="29" s="1"/>
  <c r="E7" i="29" s="1"/>
  <c r="B3" i="29"/>
  <c r="B7" i="29"/>
  <c r="A21" i="29" s="1"/>
  <c r="B6" i="29"/>
  <c r="B5" i="29"/>
  <c r="D31" i="29" s="1"/>
  <c r="B4" i="29"/>
  <c r="A1" i="29"/>
  <c r="D27" i="29"/>
  <c r="E18" i="29"/>
  <c r="D18" i="29"/>
  <c r="H4" i="29" s="1"/>
  <c r="E4" i="28"/>
  <c r="E3" i="28" s="1"/>
  <c r="E5" i="28" s="1"/>
  <c r="E7" i="28" s="1"/>
  <c r="H1" i="28"/>
  <c r="F1" i="28"/>
  <c r="B7" i="28"/>
  <c r="A21" i="28" s="1"/>
  <c r="B6" i="28"/>
  <c r="B5" i="28"/>
  <c r="D31" i="28" s="1"/>
  <c r="E31" i="28" s="1"/>
  <c r="E33" i="28" s="1"/>
  <c r="B4" i="28"/>
  <c r="B3" i="28"/>
  <c r="A1" i="28"/>
  <c r="D27" i="28"/>
  <c r="E18" i="28"/>
  <c r="D18" i="28"/>
  <c r="H4" i="28" s="1"/>
  <c r="E4" i="27"/>
  <c r="E3" i="27" s="1"/>
  <c r="E5" i="27" s="1"/>
  <c r="E7" i="27" s="1"/>
  <c r="H1" i="27"/>
  <c r="F1" i="27"/>
  <c r="B7" i="27"/>
  <c r="A21" i="27" s="1"/>
  <c r="B6" i="27"/>
  <c r="B5" i="27"/>
  <c r="D31" i="27" s="1"/>
  <c r="B4" i="27"/>
  <c r="B3" i="27"/>
  <c r="A1" i="27"/>
  <c r="D27" i="27"/>
  <c r="E18" i="27"/>
  <c r="D18" i="27"/>
  <c r="H4" i="27" s="1"/>
  <c r="H1" i="26"/>
  <c r="F1" i="26"/>
  <c r="E4" i="26"/>
  <c r="E3" i="26" s="1"/>
  <c r="E5" i="26" s="1"/>
  <c r="E7" i="26" s="1"/>
  <c r="B17" i="26" s="1"/>
  <c r="B7" i="26"/>
  <c r="A22" i="26" s="1"/>
  <c r="B6" i="26"/>
  <c r="B5" i="26"/>
  <c r="D32" i="26" s="1"/>
  <c r="B4" i="26"/>
  <c r="B3" i="26"/>
  <c r="A1" i="26"/>
  <c r="D28" i="26"/>
  <c r="E19" i="26"/>
  <c r="D19" i="26"/>
  <c r="H1" i="25"/>
  <c r="F1" i="25"/>
  <c r="E4" i="25"/>
  <c r="E3" i="25" s="1"/>
  <c r="B7" i="25"/>
  <c r="A21" i="25" s="1"/>
  <c r="B6" i="25"/>
  <c r="B5" i="25"/>
  <c r="D31" i="25" s="1"/>
  <c r="B4" i="25"/>
  <c r="B3" i="25"/>
  <c r="A1" i="25"/>
  <c r="D27" i="25"/>
  <c r="E18" i="25"/>
  <c r="D18" i="25"/>
  <c r="H4" i="25" s="1"/>
  <c r="H1" i="24"/>
  <c r="F1" i="24"/>
  <c r="E4" i="24"/>
  <c r="E3" i="24" s="1"/>
  <c r="A1" i="24"/>
  <c r="B7" i="24"/>
  <c r="A21" i="24" s="1"/>
  <c r="B6" i="24"/>
  <c r="B5" i="24"/>
  <c r="D31" i="24" s="1"/>
  <c r="B4" i="24"/>
  <c r="B3" i="24"/>
  <c r="D27" i="24"/>
  <c r="E18" i="24"/>
  <c r="D18" i="24"/>
  <c r="H4" i="24" s="1"/>
  <c r="T5" i="21" s="1"/>
  <c r="E25" i="44" l="1"/>
  <c r="E30" i="44" s="1"/>
  <c r="E20" i="36"/>
  <c r="E20" i="26"/>
  <c r="E21" i="26" s="1"/>
  <c r="D39" i="47"/>
  <c r="E19" i="33"/>
  <c r="E25" i="33" s="1"/>
  <c r="E30" i="33" s="1"/>
  <c r="E19" i="32"/>
  <c r="E25" i="32" s="1"/>
  <c r="E30" i="32" s="1"/>
  <c r="E19" i="30"/>
  <c r="D40" i="46"/>
  <c r="D39" i="48"/>
  <c r="E19" i="38"/>
  <c r="E25" i="38" s="1"/>
  <c r="E30" i="38" s="1"/>
  <c r="H4" i="26"/>
  <c r="T7" i="21" s="1"/>
  <c r="H4" i="36"/>
  <c r="T17" i="21" s="1"/>
  <c r="E19" i="40"/>
  <c r="E25" i="40" s="1"/>
  <c r="E30" i="40" s="1"/>
  <c r="E19" i="39"/>
  <c r="H20" i="21" s="1"/>
  <c r="E19" i="28"/>
  <c r="E25" i="28" s="1"/>
  <c r="E30" i="28" s="1"/>
  <c r="E37" i="28" s="1"/>
  <c r="E19" i="25"/>
  <c r="E25" i="25" s="1"/>
  <c r="E30" i="25" s="1"/>
  <c r="E19" i="35"/>
  <c r="E25" i="35" s="1"/>
  <c r="E30" i="35" s="1"/>
  <c r="E19" i="29"/>
  <c r="E25" i="29" s="1"/>
  <c r="E30" i="29" s="1"/>
  <c r="E19" i="24"/>
  <c r="H5" i="21" s="1"/>
  <c r="E19" i="34"/>
  <c r="E25" i="34" s="1"/>
  <c r="E30" i="34" s="1"/>
  <c r="H4" i="40"/>
  <c r="D28" i="28"/>
  <c r="D30" i="28" s="1"/>
  <c r="E19" i="43"/>
  <c r="H54" i="21" s="1"/>
  <c r="E19" i="31"/>
  <c r="E25" i="31" s="1"/>
  <c r="E30" i="31" s="1"/>
  <c r="E19" i="41"/>
  <c r="E19" i="27"/>
  <c r="E25" i="27" s="1"/>
  <c r="E30" i="27" s="1"/>
  <c r="E37" i="44"/>
  <c r="D37" i="44"/>
  <c r="B15" i="43"/>
  <c r="B11" i="43"/>
  <c r="B14" i="43"/>
  <c r="B12" i="43"/>
  <c r="B17" i="43"/>
  <c r="B13" i="43"/>
  <c r="G3" i="43"/>
  <c r="G4" i="43" s="1"/>
  <c r="S54" i="21" s="1"/>
  <c r="B16" i="43"/>
  <c r="D28" i="43"/>
  <c r="D30" i="43" s="1"/>
  <c r="E31" i="43"/>
  <c r="E33" i="43" s="1"/>
  <c r="D32" i="43"/>
  <c r="D33" i="43" s="1"/>
  <c r="E24" i="42"/>
  <c r="H57" i="21" s="1"/>
  <c r="D33" i="42"/>
  <c r="D35" i="42" s="1"/>
  <c r="E36" i="42"/>
  <c r="E38" i="42" s="1"/>
  <c r="D37" i="42"/>
  <c r="D38" i="42" s="1"/>
  <c r="B15" i="41"/>
  <c r="B11" i="41"/>
  <c r="B17" i="41"/>
  <c r="B13" i="41"/>
  <c r="B16" i="41"/>
  <c r="B12" i="41"/>
  <c r="B14" i="41"/>
  <c r="G3" i="41"/>
  <c r="G4" i="41" s="1"/>
  <c r="S22" i="21" s="1"/>
  <c r="D30" i="41"/>
  <c r="D32" i="41"/>
  <c r="D33" i="41" s="1"/>
  <c r="E31" i="41"/>
  <c r="E33" i="41" s="1"/>
  <c r="B15" i="40"/>
  <c r="B11" i="40"/>
  <c r="B14" i="40"/>
  <c r="B12" i="40"/>
  <c r="B17" i="40"/>
  <c r="B13" i="40"/>
  <c r="G3" i="40"/>
  <c r="G4" i="40" s="1"/>
  <c r="B16" i="40"/>
  <c r="D28" i="40"/>
  <c r="D30" i="40" s="1"/>
  <c r="E31" i="40"/>
  <c r="E33" i="40" s="1"/>
  <c r="D32" i="40"/>
  <c r="D33" i="40" s="1"/>
  <c r="B15" i="39"/>
  <c r="B11" i="39"/>
  <c r="B14" i="39"/>
  <c r="B16" i="39"/>
  <c r="B17" i="39"/>
  <c r="B13" i="39"/>
  <c r="G3" i="39"/>
  <c r="G4" i="39" s="1"/>
  <c r="S20" i="21" s="1"/>
  <c r="B12" i="39"/>
  <c r="D28" i="39"/>
  <c r="D30" i="39" s="1"/>
  <c r="E31" i="39"/>
  <c r="E33" i="39" s="1"/>
  <c r="D32" i="39"/>
  <c r="D33" i="39" s="1"/>
  <c r="B15" i="38"/>
  <c r="B11" i="38"/>
  <c r="B13" i="38"/>
  <c r="B14" i="38"/>
  <c r="B17" i="38"/>
  <c r="G3" i="38"/>
  <c r="G4" i="38" s="1"/>
  <c r="B16" i="38"/>
  <c r="B12" i="38"/>
  <c r="D28" i="38"/>
  <c r="D30" i="38" s="1"/>
  <c r="E31" i="38"/>
  <c r="E33" i="38" s="1"/>
  <c r="D32" i="38"/>
  <c r="D33" i="38" s="1"/>
  <c r="B15" i="37"/>
  <c r="B11" i="37"/>
  <c r="B14" i="37"/>
  <c r="B16" i="37"/>
  <c r="E20" i="37"/>
  <c r="B17" i="37"/>
  <c r="B13" i="37"/>
  <c r="G3" i="37"/>
  <c r="G4" i="37" s="1"/>
  <c r="B12" i="37"/>
  <c r="D28" i="37"/>
  <c r="D30" i="37" s="1"/>
  <c r="E31" i="37"/>
  <c r="E33" i="37" s="1"/>
  <c r="E37" i="37" s="1"/>
  <c r="D32" i="37"/>
  <c r="D33" i="37" s="1"/>
  <c r="B15" i="36"/>
  <c r="B11" i="36"/>
  <c r="B16" i="36"/>
  <c r="B14" i="36"/>
  <c r="E21" i="36"/>
  <c r="B13" i="36"/>
  <c r="G3" i="36"/>
  <c r="G4" i="36" s="1"/>
  <c r="S17" i="21" s="1"/>
  <c r="B12" i="36"/>
  <c r="D29" i="36"/>
  <c r="D31" i="36" s="1"/>
  <c r="E32" i="36"/>
  <c r="E34" i="36" s="1"/>
  <c r="D33" i="36"/>
  <c r="D34" i="36" s="1"/>
  <c r="B15" i="35"/>
  <c r="B11" i="35"/>
  <c r="B14" i="35"/>
  <c r="B16" i="35"/>
  <c r="B17" i="35"/>
  <c r="B13" i="35"/>
  <c r="G3" i="35"/>
  <c r="G4" i="35" s="1"/>
  <c r="B12" i="35"/>
  <c r="D28" i="35"/>
  <c r="D30" i="35" s="1"/>
  <c r="E31" i="35"/>
  <c r="E33" i="35" s="1"/>
  <c r="D32" i="35"/>
  <c r="D33" i="35" s="1"/>
  <c r="E5" i="34"/>
  <c r="E7" i="34" s="1"/>
  <c r="B15" i="34" s="1"/>
  <c r="D28" i="34"/>
  <c r="D30" i="34" s="1"/>
  <c r="D32" i="34"/>
  <c r="D33" i="34" s="1"/>
  <c r="E31" i="34"/>
  <c r="E33" i="34" s="1"/>
  <c r="B15" i="33"/>
  <c r="B11" i="33"/>
  <c r="B14" i="33"/>
  <c r="B16" i="33"/>
  <c r="E20" i="33"/>
  <c r="B17" i="33"/>
  <c r="B13" i="33"/>
  <c r="G3" i="33"/>
  <c r="G4" i="33" s="1"/>
  <c r="B12" i="33"/>
  <c r="D28" i="33"/>
  <c r="D30" i="33" s="1"/>
  <c r="E31" i="33"/>
  <c r="E33" i="33" s="1"/>
  <c r="E37" i="33" s="1"/>
  <c r="D32" i="33"/>
  <c r="D33" i="33" s="1"/>
  <c r="B15" i="32"/>
  <c r="B11" i="32"/>
  <c r="B17" i="32"/>
  <c r="G3" i="32"/>
  <c r="G4" i="32" s="1"/>
  <c r="B12" i="32"/>
  <c r="B14" i="32"/>
  <c r="E20" i="32"/>
  <c r="B13" i="32"/>
  <c r="B16" i="32"/>
  <c r="D28" i="32"/>
  <c r="D30" i="32" s="1"/>
  <c r="D32" i="32"/>
  <c r="D33" i="32" s="1"/>
  <c r="E31" i="32"/>
  <c r="E33" i="32" s="1"/>
  <c r="B14" i="31"/>
  <c r="B16" i="31"/>
  <c r="B12" i="31"/>
  <c r="B15" i="31"/>
  <c r="B17" i="31"/>
  <c r="B13" i="31"/>
  <c r="G3" i="31"/>
  <c r="G4" i="31" s="1"/>
  <c r="B11" i="31"/>
  <c r="D28" i="31"/>
  <c r="D30" i="31" s="1"/>
  <c r="D37" i="31" s="1"/>
  <c r="E31" i="31"/>
  <c r="E33" i="31" s="1"/>
  <c r="B15" i="30"/>
  <c r="B11" i="30"/>
  <c r="B14" i="30"/>
  <c r="B16" i="30"/>
  <c r="B17" i="30"/>
  <c r="B13" i="30"/>
  <c r="G3" i="30"/>
  <c r="G4" i="30" s="1"/>
  <c r="S11" i="21" s="1"/>
  <c r="B12" i="30"/>
  <c r="D28" i="30"/>
  <c r="D30" i="30" s="1"/>
  <c r="E31" i="30"/>
  <c r="E33" i="30" s="1"/>
  <c r="D32" i="30"/>
  <c r="D33" i="30" s="1"/>
  <c r="B14" i="29"/>
  <c r="B17" i="29"/>
  <c r="B13" i="29"/>
  <c r="G3" i="29"/>
  <c r="G4" i="29" s="1"/>
  <c r="B16" i="29"/>
  <c r="B12" i="29"/>
  <c r="B15" i="29"/>
  <c r="B11" i="29"/>
  <c r="D32" i="29"/>
  <c r="D33" i="29" s="1"/>
  <c r="E31" i="29"/>
  <c r="E33" i="29" s="1"/>
  <c r="D28" i="29"/>
  <c r="D30" i="29" s="1"/>
  <c r="B15" i="28"/>
  <c r="B11" i="28"/>
  <c r="B14" i="28"/>
  <c r="E20" i="28"/>
  <c r="B17" i="28"/>
  <c r="B13" i="28"/>
  <c r="G3" i="28"/>
  <c r="G4" i="28" s="1"/>
  <c r="B16" i="28"/>
  <c r="B12" i="28"/>
  <c r="D32" i="28"/>
  <c r="D33" i="28" s="1"/>
  <c r="B15" i="27"/>
  <c r="B11" i="27"/>
  <c r="B16" i="27"/>
  <c r="B14" i="27"/>
  <c r="B17" i="27"/>
  <c r="B13" i="27"/>
  <c r="G3" i="27"/>
  <c r="G4" i="27" s="1"/>
  <c r="B12" i="27"/>
  <c r="D28" i="27"/>
  <c r="D30" i="27" s="1"/>
  <c r="E31" i="27"/>
  <c r="E33" i="27" s="1"/>
  <c r="D32" i="27"/>
  <c r="D33" i="27" s="1"/>
  <c r="B15" i="26"/>
  <c r="B11" i="26"/>
  <c r="B14" i="26"/>
  <c r="B16" i="26"/>
  <c r="B12" i="26"/>
  <c r="B13" i="26"/>
  <c r="G3" i="26"/>
  <c r="G4" i="26" s="1"/>
  <c r="S7" i="21" s="1"/>
  <c r="D29" i="26"/>
  <c r="D31" i="26" s="1"/>
  <c r="E32" i="26"/>
  <c r="E34" i="26" s="1"/>
  <c r="D33" i="26"/>
  <c r="D34" i="26" s="1"/>
  <c r="E5" i="25"/>
  <c r="E7" i="25" s="1"/>
  <c r="B15" i="25" s="1"/>
  <c r="D28" i="25"/>
  <c r="D30" i="25" s="1"/>
  <c r="E31" i="25"/>
  <c r="E33" i="25" s="1"/>
  <c r="E37" i="25" s="1"/>
  <c r="D32" i="25"/>
  <c r="D33" i="25" s="1"/>
  <c r="D28" i="24"/>
  <c r="D30" i="24" s="1"/>
  <c r="D32" i="24"/>
  <c r="D33" i="24" s="1"/>
  <c r="E31" i="24"/>
  <c r="E33" i="24" s="1"/>
  <c r="E80" i="21"/>
  <c r="E4" i="23"/>
  <c r="E3" i="23" s="1"/>
  <c r="E5" i="23" s="1"/>
  <c r="E7" i="23" s="1"/>
  <c r="H1" i="23"/>
  <c r="F1" i="23"/>
  <c r="B7" i="23"/>
  <c r="A21" i="23" s="1"/>
  <c r="B6" i="23"/>
  <c r="B5" i="23"/>
  <c r="D31" i="23" s="1"/>
  <c r="A1" i="23"/>
  <c r="B4" i="23"/>
  <c r="B3" i="23"/>
  <c r="D27" i="23"/>
  <c r="E18" i="23"/>
  <c r="D18" i="23"/>
  <c r="E20" i="31" l="1"/>
  <c r="E19" i="23"/>
  <c r="E37" i="34"/>
  <c r="E26" i="36"/>
  <c r="E31" i="36" s="1"/>
  <c r="E38" i="36" s="1"/>
  <c r="H17" i="21"/>
  <c r="E20" i="38"/>
  <c r="E37" i="29"/>
  <c r="E20" i="29"/>
  <c r="E37" i="32"/>
  <c r="E37" i="38"/>
  <c r="E25" i="30"/>
  <c r="E30" i="30" s="1"/>
  <c r="E37" i="30" s="1"/>
  <c r="H11" i="21"/>
  <c r="E26" i="26"/>
  <c r="E31" i="26" s="1"/>
  <c r="E38" i="26" s="1"/>
  <c r="H7" i="21"/>
  <c r="L7" i="21" s="1"/>
  <c r="M7" i="21" s="1"/>
  <c r="E25" i="41"/>
  <c r="E30" i="41" s="1"/>
  <c r="E37" i="41" s="1"/>
  <c r="H22" i="21"/>
  <c r="I22" i="21" s="1"/>
  <c r="D37" i="40"/>
  <c r="E25" i="24"/>
  <c r="E30" i="24" s="1"/>
  <c r="E37" i="24" s="1"/>
  <c r="D37" i="27"/>
  <c r="E20" i="30"/>
  <c r="E20" i="40"/>
  <c r="D42" i="42"/>
  <c r="E25" i="39"/>
  <c r="E30" i="39" s="1"/>
  <c r="E37" i="39" s="1"/>
  <c r="E37" i="40"/>
  <c r="E20" i="43"/>
  <c r="E20" i="35"/>
  <c r="E20" i="39"/>
  <c r="E37" i="35"/>
  <c r="H4" i="23"/>
  <c r="T3" i="21" s="1"/>
  <c r="G3" i="34"/>
  <c r="G4" i="34" s="1"/>
  <c r="E25" i="23"/>
  <c r="E30" i="23" s="1"/>
  <c r="H3" i="21"/>
  <c r="D37" i="41"/>
  <c r="E20" i="27"/>
  <c r="E37" i="31"/>
  <c r="D39" i="31" s="1"/>
  <c r="B11" i="34"/>
  <c r="E20" i="41"/>
  <c r="D37" i="28"/>
  <c r="D39" i="28" s="1"/>
  <c r="E37" i="27"/>
  <c r="E25" i="43"/>
  <c r="E30" i="43" s="1"/>
  <c r="E37" i="43" s="1"/>
  <c r="D39" i="44"/>
  <c r="B13" i="34"/>
  <c r="B17" i="34"/>
  <c r="B16" i="34"/>
  <c r="E20" i="34"/>
  <c r="B16" i="25"/>
  <c r="G3" i="25"/>
  <c r="G4" i="25" s="1"/>
  <c r="B13" i="25"/>
  <c r="B11" i="25"/>
  <c r="B12" i="34"/>
  <c r="B14" i="34"/>
  <c r="E20" i="25"/>
  <c r="B14" i="25"/>
  <c r="B12" i="25"/>
  <c r="B17" i="25"/>
  <c r="E30" i="42"/>
  <c r="E35" i="42" s="1"/>
  <c r="E42" i="42" s="1"/>
  <c r="D37" i="43"/>
  <c r="D37" i="39"/>
  <c r="D37" i="38"/>
  <c r="D37" i="37"/>
  <c r="D39" i="37" s="1"/>
  <c r="D38" i="36"/>
  <c r="D37" i="35"/>
  <c r="D37" i="34"/>
  <c r="D39" i="34" s="1"/>
  <c r="D37" i="33"/>
  <c r="D39" i="33" s="1"/>
  <c r="D37" i="32"/>
  <c r="D37" i="30"/>
  <c r="D37" i="29"/>
  <c r="D38" i="26"/>
  <c r="D37" i="25"/>
  <c r="D39" i="25" s="1"/>
  <c r="D37" i="24"/>
  <c r="B15" i="23"/>
  <c r="B11" i="23"/>
  <c r="B12" i="23"/>
  <c r="B14" i="23"/>
  <c r="E20" i="23"/>
  <c r="B17" i="23"/>
  <c r="B13" i="23"/>
  <c r="G3" i="23"/>
  <c r="G4" i="23" s="1"/>
  <c r="S3" i="21" s="1"/>
  <c r="B16" i="23"/>
  <c r="D28" i="23"/>
  <c r="D30" i="23" s="1"/>
  <c r="E31" i="23"/>
  <c r="E33" i="23" s="1"/>
  <c r="E37" i="23" s="1"/>
  <c r="D32" i="23"/>
  <c r="D33" i="23" s="1"/>
  <c r="B3" i="22"/>
  <c r="Y4" i="21"/>
  <c r="Z4" i="21"/>
  <c r="AA4" i="21"/>
  <c r="AB4" i="21"/>
  <c r="AC4" i="21"/>
  <c r="BB4" i="21" s="1"/>
  <c r="AD4" i="21"/>
  <c r="AE4" i="21"/>
  <c r="AF4" i="21"/>
  <c r="AH4" i="21"/>
  <c r="AI4" i="21"/>
  <c r="AJ4" i="21"/>
  <c r="AK4" i="21"/>
  <c r="AL4" i="21"/>
  <c r="AM4" i="21"/>
  <c r="AN4" i="21"/>
  <c r="AO4" i="21"/>
  <c r="J25" i="18"/>
  <c r="M5" i="18"/>
  <c r="F30" i="18"/>
  <c r="M4" i="18"/>
  <c r="F29" i="18"/>
  <c r="G28" i="18"/>
  <c r="L25" i="18"/>
  <c r="H26" i="18"/>
  <c r="F26" i="18"/>
  <c r="H1" i="22"/>
  <c r="F1" i="22"/>
  <c r="E4" i="22"/>
  <c r="E3" i="22" s="1"/>
  <c r="E5" i="22" s="1"/>
  <c r="E7" i="22" s="1"/>
  <c r="B7" i="22"/>
  <c r="A21" i="22" s="1"/>
  <c r="B6" i="22"/>
  <c r="B5" i="22"/>
  <c r="D31" i="22" s="1"/>
  <c r="B4" i="22"/>
  <c r="A1" i="22"/>
  <c r="D27" i="22"/>
  <c r="E18" i="22"/>
  <c r="D18" i="22"/>
  <c r="H4" i="22" s="1"/>
  <c r="T4" i="21" s="1"/>
  <c r="H16" i="18"/>
  <c r="J13" i="18"/>
  <c r="D13" i="18"/>
  <c r="D11" i="18"/>
  <c r="G10" i="18"/>
  <c r="J9" i="18"/>
  <c r="D9" i="18"/>
  <c r="H8" i="18"/>
  <c r="M2" i="18"/>
  <c r="A1" i="17"/>
  <c r="B7" i="17"/>
  <c r="A21" i="17" s="1"/>
  <c r="B6" i="17"/>
  <c r="B5" i="17"/>
  <c r="D31" i="17" s="1"/>
  <c r="B4" i="17"/>
  <c r="B3" i="17"/>
  <c r="H1" i="17"/>
  <c r="F1" i="17"/>
  <c r="Y78" i="21"/>
  <c r="Z78" i="21"/>
  <c r="AA78" i="21"/>
  <c r="AB78" i="21"/>
  <c r="AC78" i="21"/>
  <c r="BB78" i="21" s="1"/>
  <c r="AD78" i="21"/>
  <c r="AE78" i="21"/>
  <c r="AF78" i="21"/>
  <c r="AH78" i="21"/>
  <c r="AI78" i="21"/>
  <c r="AJ78" i="21"/>
  <c r="AK78" i="21"/>
  <c r="AL78" i="21"/>
  <c r="AM78" i="21"/>
  <c r="AN78" i="21"/>
  <c r="AO78" i="21"/>
  <c r="Y5" i="21"/>
  <c r="Z5" i="21"/>
  <c r="AA5" i="21"/>
  <c r="AB5" i="21"/>
  <c r="AC5" i="21"/>
  <c r="BB5" i="21" s="1"/>
  <c r="AD5" i="21"/>
  <c r="AE5" i="21"/>
  <c r="AF5" i="21"/>
  <c r="AH5" i="21"/>
  <c r="AI5" i="21"/>
  <c r="AJ5" i="21"/>
  <c r="AK5" i="21"/>
  <c r="AL5" i="21"/>
  <c r="AM5" i="21"/>
  <c r="AN5" i="21"/>
  <c r="AO5" i="21"/>
  <c r="Y6" i="21"/>
  <c r="Z6" i="21"/>
  <c r="AA6" i="21"/>
  <c r="AB6" i="21"/>
  <c r="AC6" i="21"/>
  <c r="BB6" i="21" s="1"/>
  <c r="AD6" i="21"/>
  <c r="AE6" i="21"/>
  <c r="AF6" i="21"/>
  <c r="AH6" i="21"/>
  <c r="AI6" i="21"/>
  <c r="AJ6" i="21"/>
  <c r="AK6" i="21"/>
  <c r="AL6" i="21"/>
  <c r="AM6" i="21"/>
  <c r="AN6" i="21"/>
  <c r="AO6" i="21"/>
  <c r="BB7" i="21"/>
  <c r="Y8" i="21"/>
  <c r="Z8" i="21"/>
  <c r="AA8" i="21"/>
  <c r="AB8" i="21"/>
  <c r="AC8" i="21"/>
  <c r="BB8" i="21" s="1"/>
  <c r="AD8" i="21"/>
  <c r="AE8" i="21"/>
  <c r="AF8" i="21"/>
  <c r="AH8" i="21"/>
  <c r="AI8" i="21"/>
  <c r="AJ8" i="21"/>
  <c r="AK8" i="21"/>
  <c r="AL8" i="21"/>
  <c r="AM8" i="21"/>
  <c r="AN8" i="21"/>
  <c r="AO8" i="21"/>
  <c r="Y9" i="21"/>
  <c r="Z9" i="21"/>
  <c r="AA9" i="21"/>
  <c r="AB9" i="21"/>
  <c r="AC9" i="21"/>
  <c r="BB9" i="21" s="1"/>
  <c r="AD9" i="21"/>
  <c r="AE9" i="21"/>
  <c r="AF9" i="21"/>
  <c r="AH9" i="21"/>
  <c r="AI9" i="21"/>
  <c r="AJ9" i="21"/>
  <c r="AK9" i="21"/>
  <c r="AL9" i="21"/>
  <c r="AM9" i="21"/>
  <c r="AN9" i="21"/>
  <c r="AO9" i="21"/>
  <c r="Y10" i="21"/>
  <c r="Z10" i="21"/>
  <c r="AA10" i="21"/>
  <c r="AB10" i="21"/>
  <c r="AC10" i="21"/>
  <c r="BB10" i="21" s="1"/>
  <c r="AD10" i="21"/>
  <c r="AE10" i="21"/>
  <c r="AF10" i="21"/>
  <c r="AH10" i="21"/>
  <c r="AI10" i="21"/>
  <c r="AJ10" i="21"/>
  <c r="AK10" i="21"/>
  <c r="AL10" i="21"/>
  <c r="AM10" i="21"/>
  <c r="AN10" i="21"/>
  <c r="AO10" i="21"/>
  <c r="BB11" i="21"/>
  <c r="BB12" i="21"/>
  <c r="AH12" i="21"/>
  <c r="AI12" i="21"/>
  <c r="AJ12" i="21"/>
  <c r="AK12" i="21"/>
  <c r="AL12" i="21"/>
  <c r="AM12" i="21"/>
  <c r="AN12" i="21"/>
  <c r="AO12" i="21"/>
  <c r="Y13" i="21"/>
  <c r="Z13" i="21"/>
  <c r="AA13" i="21"/>
  <c r="AB13" i="21"/>
  <c r="AC13" i="21"/>
  <c r="BB13" i="21" s="1"/>
  <c r="AD13" i="21"/>
  <c r="AE13" i="21"/>
  <c r="AF13" i="21"/>
  <c r="AH13" i="21"/>
  <c r="AI13" i="21"/>
  <c r="AJ13" i="21"/>
  <c r="AK13" i="21"/>
  <c r="AL13" i="21"/>
  <c r="AM13" i="21"/>
  <c r="AN13" i="21"/>
  <c r="AO13" i="21"/>
  <c r="Y14" i="21"/>
  <c r="Z14" i="21"/>
  <c r="AA14" i="21"/>
  <c r="AB14" i="21"/>
  <c r="AC14" i="21"/>
  <c r="BB14" i="21" s="1"/>
  <c r="AD14" i="21"/>
  <c r="AE14" i="21"/>
  <c r="AF14" i="21"/>
  <c r="AH14" i="21"/>
  <c r="AI14" i="21"/>
  <c r="AJ14" i="21"/>
  <c r="AK14" i="21"/>
  <c r="AL14" i="21"/>
  <c r="AM14" i="21"/>
  <c r="AN14" i="21"/>
  <c r="AO14" i="21"/>
  <c r="Y15" i="21"/>
  <c r="Z15" i="21"/>
  <c r="AA15" i="21"/>
  <c r="AB15" i="21"/>
  <c r="AC15" i="21"/>
  <c r="BB15" i="21" s="1"/>
  <c r="AD15" i="21"/>
  <c r="AE15" i="21"/>
  <c r="AF15" i="21"/>
  <c r="AH15" i="21"/>
  <c r="AI15" i="21"/>
  <c r="AJ15" i="21"/>
  <c r="AK15" i="21"/>
  <c r="AL15" i="21"/>
  <c r="AM15" i="21"/>
  <c r="AN15" i="21"/>
  <c r="AO15" i="21"/>
  <c r="Y16" i="21"/>
  <c r="Z16" i="21"/>
  <c r="AA16" i="21"/>
  <c r="AB16" i="21"/>
  <c r="AC16" i="21"/>
  <c r="BB16" i="21" s="1"/>
  <c r="AD16" i="21"/>
  <c r="AE16" i="21"/>
  <c r="AF16" i="21"/>
  <c r="AH16" i="21"/>
  <c r="AI16" i="21"/>
  <c r="AJ16" i="21"/>
  <c r="AK16" i="21"/>
  <c r="AL16" i="21"/>
  <c r="AM16" i="21"/>
  <c r="AN16" i="21"/>
  <c r="AO16" i="21"/>
  <c r="BB17" i="21"/>
  <c r="Y18" i="21"/>
  <c r="Z18" i="21"/>
  <c r="AA18" i="21"/>
  <c r="AB18" i="21"/>
  <c r="AC18" i="21"/>
  <c r="BB18" i="21" s="1"/>
  <c r="AD18" i="21"/>
  <c r="AE18" i="21"/>
  <c r="AF18" i="21"/>
  <c r="AH18" i="21"/>
  <c r="AI18" i="21"/>
  <c r="AJ18" i="21"/>
  <c r="AK18" i="21"/>
  <c r="AL18" i="21"/>
  <c r="AM18" i="21"/>
  <c r="AN18" i="21"/>
  <c r="AO18" i="21"/>
  <c r="Y19" i="21"/>
  <c r="Z19" i="21"/>
  <c r="AA19" i="21"/>
  <c r="AB19" i="21"/>
  <c r="AC19" i="21"/>
  <c r="BB19" i="21" s="1"/>
  <c r="AD19" i="21"/>
  <c r="AE19" i="21"/>
  <c r="AF19" i="21"/>
  <c r="AH19" i="21"/>
  <c r="AI19" i="21"/>
  <c r="AJ19" i="21"/>
  <c r="AK19" i="21"/>
  <c r="AL19" i="21"/>
  <c r="AM19" i="21"/>
  <c r="AN19" i="21"/>
  <c r="AO19" i="21"/>
  <c r="BB20" i="21"/>
  <c r="AH20" i="21"/>
  <c r="AI20" i="21"/>
  <c r="AJ20" i="21"/>
  <c r="AK20" i="21"/>
  <c r="AL20" i="21"/>
  <c r="AM20" i="21"/>
  <c r="AN20" i="21"/>
  <c r="AO20" i="21"/>
  <c r="Y21" i="21"/>
  <c r="Z21" i="21"/>
  <c r="AA21" i="21"/>
  <c r="AB21" i="21"/>
  <c r="AC21" i="21"/>
  <c r="BB21" i="21" s="1"/>
  <c r="AD21" i="21"/>
  <c r="AE21" i="21"/>
  <c r="AF21" i="21"/>
  <c r="AH21" i="21"/>
  <c r="AI21" i="21"/>
  <c r="AJ21" i="21"/>
  <c r="AK21" i="21"/>
  <c r="AL21" i="21"/>
  <c r="AM21" i="21"/>
  <c r="AN21" i="21"/>
  <c r="AO21" i="21"/>
  <c r="BB22" i="21"/>
  <c r="AH22" i="21"/>
  <c r="AI22" i="21"/>
  <c r="AJ22" i="21"/>
  <c r="AK22" i="21"/>
  <c r="AL22" i="21"/>
  <c r="AM22" i="21"/>
  <c r="AN22" i="21"/>
  <c r="AO22" i="21"/>
  <c r="BB23" i="21"/>
  <c r="Y24" i="21"/>
  <c r="Z24" i="21"/>
  <c r="AA24" i="21"/>
  <c r="AB24" i="21"/>
  <c r="AC24" i="21"/>
  <c r="BB24" i="21" s="1"/>
  <c r="AD24" i="21"/>
  <c r="AE24" i="21"/>
  <c r="AF24" i="21"/>
  <c r="AH24" i="21"/>
  <c r="AI24" i="21"/>
  <c r="AJ24" i="21"/>
  <c r="AK24" i="21"/>
  <c r="AL24" i="21"/>
  <c r="AM24" i="21"/>
  <c r="AN24" i="21"/>
  <c r="AO24" i="21"/>
  <c r="Y25" i="21"/>
  <c r="Z25" i="21"/>
  <c r="AA25" i="21"/>
  <c r="AB25" i="21"/>
  <c r="AC25" i="21"/>
  <c r="BB25" i="21" s="1"/>
  <c r="AD25" i="21"/>
  <c r="AE25" i="21"/>
  <c r="AF25" i="21"/>
  <c r="AH25" i="21"/>
  <c r="AI25" i="21"/>
  <c r="AJ25" i="21"/>
  <c r="AK25" i="21"/>
  <c r="AL25" i="21"/>
  <c r="AM25" i="21"/>
  <c r="AN25" i="21"/>
  <c r="AO25" i="21"/>
  <c r="BB26" i="21"/>
  <c r="BB27" i="21"/>
  <c r="AH27" i="21"/>
  <c r="AI27" i="21"/>
  <c r="AJ27" i="21"/>
  <c r="AK27" i="21"/>
  <c r="AL27" i="21"/>
  <c r="AM27" i="21"/>
  <c r="AN27" i="21"/>
  <c r="AO27" i="21"/>
  <c r="BB28" i="21"/>
  <c r="Y29" i="21"/>
  <c r="Z29" i="21"/>
  <c r="AA29" i="21"/>
  <c r="AB29" i="21"/>
  <c r="AC29" i="21"/>
  <c r="BB29" i="21" s="1"/>
  <c r="AD29" i="21"/>
  <c r="AE29" i="21"/>
  <c r="AF29" i="21"/>
  <c r="AH29" i="21"/>
  <c r="AI29" i="21"/>
  <c r="AJ29" i="21"/>
  <c r="AK29" i="21"/>
  <c r="AL29" i="21"/>
  <c r="AM29" i="21"/>
  <c r="AN29" i="21"/>
  <c r="AO29" i="21"/>
  <c r="Y30" i="21"/>
  <c r="Z30" i="21"/>
  <c r="AA30" i="21"/>
  <c r="AB30" i="21"/>
  <c r="AC30" i="21"/>
  <c r="BB30" i="21" s="1"/>
  <c r="AD30" i="21"/>
  <c r="AE30" i="21"/>
  <c r="AF30" i="21"/>
  <c r="AH30" i="21"/>
  <c r="AI30" i="21"/>
  <c r="AJ30" i="21"/>
  <c r="AK30" i="21"/>
  <c r="AL30" i="21"/>
  <c r="AM30" i="21"/>
  <c r="AN30" i="21"/>
  <c r="AO30" i="21"/>
  <c r="Y31" i="21"/>
  <c r="Z31" i="21"/>
  <c r="AA31" i="21"/>
  <c r="AB31" i="21"/>
  <c r="AC31" i="21"/>
  <c r="BB31" i="21" s="1"/>
  <c r="AD31" i="21"/>
  <c r="AE31" i="21"/>
  <c r="AF31" i="21"/>
  <c r="AH31" i="21"/>
  <c r="AI31" i="21"/>
  <c r="AJ31" i="21"/>
  <c r="AK31" i="21"/>
  <c r="AL31" i="21"/>
  <c r="AM31" i="21"/>
  <c r="AN31" i="21"/>
  <c r="AO31" i="21"/>
  <c r="BB32" i="21"/>
  <c r="AH32" i="21"/>
  <c r="AI32" i="21"/>
  <c r="AJ32" i="21"/>
  <c r="AK32" i="21"/>
  <c r="AL32" i="21"/>
  <c r="AM32" i="21"/>
  <c r="AN32" i="21"/>
  <c r="AO32" i="21"/>
  <c r="BB33" i="21"/>
  <c r="AH33" i="21"/>
  <c r="AI33" i="21"/>
  <c r="AJ33" i="21"/>
  <c r="AK33" i="21"/>
  <c r="AL33" i="21"/>
  <c r="AM33" i="21"/>
  <c r="AN33" i="21"/>
  <c r="AO33" i="21"/>
  <c r="Y34" i="21"/>
  <c r="Z34" i="21"/>
  <c r="AA34" i="21"/>
  <c r="AB34" i="21"/>
  <c r="AC34" i="21"/>
  <c r="BB34" i="21" s="1"/>
  <c r="AD34" i="21"/>
  <c r="AE34" i="21"/>
  <c r="AF34" i="21"/>
  <c r="AH34" i="21"/>
  <c r="AI34" i="21"/>
  <c r="AJ34" i="21"/>
  <c r="AK34" i="21"/>
  <c r="AL34" i="21"/>
  <c r="AM34" i="21"/>
  <c r="AN34" i="21"/>
  <c r="AO34" i="21"/>
  <c r="Y35" i="21"/>
  <c r="Z35" i="21"/>
  <c r="AA35" i="21"/>
  <c r="AB35" i="21"/>
  <c r="AC35" i="21"/>
  <c r="BB35" i="21" s="1"/>
  <c r="AD35" i="21"/>
  <c r="AE35" i="21"/>
  <c r="AF35" i="21"/>
  <c r="AH35" i="21"/>
  <c r="AI35" i="21"/>
  <c r="AJ35" i="21"/>
  <c r="AK35" i="21"/>
  <c r="AL35" i="21"/>
  <c r="AM35" i="21"/>
  <c r="AN35" i="21"/>
  <c r="AO35" i="21"/>
  <c r="Y36" i="21"/>
  <c r="Z36" i="21"/>
  <c r="AA36" i="21"/>
  <c r="AB36" i="21"/>
  <c r="AC36" i="21"/>
  <c r="BB36" i="21" s="1"/>
  <c r="AD36" i="21"/>
  <c r="AE36" i="21"/>
  <c r="AF36" i="21"/>
  <c r="AH36" i="21"/>
  <c r="AI36" i="21"/>
  <c r="AJ36" i="21"/>
  <c r="AK36" i="21"/>
  <c r="AL36" i="21"/>
  <c r="AM36" i="21"/>
  <c r="AN36" i="21"/>
  <c r="AO36" i="21"/>
  <c r="BB37" i="21"/>
  <c r="Y38" i="21"/>
  <c r="Z38" i="21"/>
  <c r="AA38" i="21"/>
  <c r="AB38" i="21"/>
  <c r="AC38" i="21"/>
  <c r="BB38" i="21" s="1"/>
  <c r="AD38" i="21"/>
  <c r="AE38" i="21"/>
  <c r="AF38" i="21"/>
  <c r="AH38" i="21"/>
  <c r="AI38" i="21"/>
  <c r="AJ38" i="21"/>
  <c r="AK38" i="21"/>
  <c r="AL38" i="21"/>
  <c r="AM38" i="21"/>
  <c r="AN38" i="21"/>
  <c r="AO38" i="21"/>
  <c r="BB39" i="21"/>
  <c r="AH39" i="21"/>
  <c r="AI39" i="21"/>
  <c r="AJ39" i="21"/>
  <c r="AK39" i="21"/>
  <c r="AL39" i="21"/>
  <c r="AM39" i="21"/>
  <c r="AN39" i="21"/>
  <c r="AO39" i="21"/>
  <c r="Y40" i="21"/>
  <c r="Z40" i="21"/>
  <c r="AA40" i="21"/>
  <c r="AB40" i="21"/>
  <c r="AC40" i="21"/>
  <c r="BB40" i="21" s="1"/>
  <c r="AD40" i="21"/>
  <c r="AE40" i="21"/>
  <c r="AF40" i="21"/>
  <c r="AH40" i="21"/>
  <c r="AI40" i="21"/>
  <c r="AJ40" i="21"/>
  <c r="AK40" i="21"/>
  <c r="AL40" i="21"/>
  <c r="AM40" i="21"/>
  <c r="AN40" i="21"/>
  <c r="AO40" i="21"/>
  <c r="Y41" i="21"/>
  <c r="Z41" i="21"/>
  <c r="AA41" i="21"/>
  <c r="AB41" i="21"/>
  <c r="AC41" i="21"/>
  <c r="BB41" i="21" s="1"/>
  <c r="AD41" i="21"/>
  <c r="AE41" i="21"/>
  <c r="AF41" i="21"/>
  <c r="AH41" i="21"/>
  <c r="AI41" i="21"/>
  <c r="AJ41" i="21"/>
  <c r="AK41" i="21"/>
  <c r="AL41" i="21"/>
  <c r="AM41" i="21"/>
  <c r="AN41" i="21"/>
  <c r="AO41" i="21"/>
  <c r="BB42" i="21"/>
  <c r="Y43" i="21"/>
  <c r="Z43" i="21"/>
  <c r="AA43" i="21"/>
  <c r="AB43" i="21"/>
  <c r="AC43" i="21"/>
  <c r="BB43" i="21" s="1"/>
  <c r="AD43" i="21"/>
  <c r="AE43" i="21"/>
  <c r="AF43" i="21"/>
  <c r="AH43" i="21"/>
  <c r="AI43" i="21"/>
  <c r="AJ43" i="21"/>
  <c r="AK43" i="21"/>
  <c r="AL43" i="21"/>
  <c r="AM43" i="21"/>
  <c r="AN43" i="21"/>
  <c r="AO43" i="21"/>
  <c r="Y44" i="21"/>
  <c r="Z44" i="21"/>
  <c r="AA44" i="21"/>
  <c r="AB44" i="21"/>
  <c r="AC44" i="21"/>
  <c r="BB44" i="21" s="1"/>
  <c r="AD44" i="21"/>
  <c r="AE44" i="21"/>
  <c r="AF44" i="21"/>
  <c r="AH44" i="21"/>
  <c r="AI44" i="21"/>
  <c r="AJ44" i="21"/>
  <c r="AK44" i="21"/>
  <c r="AL44" i="21"/>
  <c r="AM44" i="21"/>
  <c r="AN44" i="21"/>
  <c r="AO44" i="21"/>
  <c r="Y45" i="21"/>
  <c r="Z45" i="21"/>
  <c r="AA45" i="21"/>
  <c r="AB45" i="21"/>
  <c r="AC45" i="21"/>
  <c r="BB45" i="21" s="1"/>
  <c r="AD45" i="21"/>
  <c r="AE45" i="21"/>
  <c r="AF45" i="21"/>
  <c r="AH45" i="21"/>
  <c r="AI45" i="21"/>
  <c r="AJ45" i="21"/>
  <c r="AK45" i="21"/>
  <c r="AL45" i="21"/>
  <c r="AM45" i="21"/>
  <c r="AN45" i="21"/>
  <c r="AO45" i="21"/>
  <c r="Y46" i="21"/>
  <c r="Z46" i="21"/>
  <c r="AA46" i="21"/>
  <c r="AB46" i="21"/>
  <c r="AC46" i="21"/>
  <c r="BB46" i="21" s="1"/>
  <c r="AD46" i="21"/>
  <c r="AE46" i="21"/>
  <c r="AF46" i="21"/>
  <c r="AH46" i="21"/>
  <c r="AI46" i="21"/>
  <c r="AJ46" i="21"/>
  <c r="AK46" i="21"/>
  <c r="AL46" i="21"/>
  <c r="AM46" i="21"/>
  <c r="AN46" i="21"/>
  <c r="AO46" i="21"/>
  <c r="BB47" i="21"/>
  <c r="AH47" i="21"/>
  <c r="AI47" i="21"/>
  <c r="AJ47" i="21"/>
  <c r="AK47" i="21"/>
  <c r="AL47" i="21"/>
  <c r="AM47" i="21"/>
  <c r="AN47" i="21"/>
  <c r="AO47" i="21"/>
  <c r="BB48" i="21"/>
  <c r="BB49" i="21"/>
  <c r="AH49" i="21"/>
  <c r="AI49" i="21"/>
  <c r="AJ49" i="21"/>
  <c r="AK49" i="21"/>
  <c r="AL49" i="21"/>
  <c r="AM49" i="21"/>
  <c r="AN49" i="21"/>
  <c r="AO49" i="21"/>
  <c r="Y50" i="21"/>
  <c r="Z50" i="21"/>
  <c r="AA50" i="21"/>
  <c r="AB50" i="21"/>
  <c r="AC50" i="21"/>
  <c r="BB50" i="21" s="1"/>
  <c r="AD50" i="21"/>
  <c r="AE50" i="21"/>
  <c r="AF50" i="21"/>
  <c r="AH50" i="21"/>
  <c r="AI50" i="21"/>
  <c r="AJ50" i="21"/>
  <c r="AK50" i="21"/>
  <c r="AL50" i="21"/>
  <c r="AM50" i="21"/>
  <c r="AN50" i="21"/>
  <c r="AO50" i="21"/>
  <c r="BB51" i="21"/>
  <c r="BB52" i="21"/>
  <c r="AH52" i="21"/>
  <c r="AI52" i="21"/>
  <c r="AJ52" i="21"/>
  <c r="AK52" i="21"/>
  <c r="AL52" i="21"/>
  <c r="AM52" i="21"/>
  <c r="AN52" i="21"/>
  <c r="AO52" i="21"/>
  <c r="BB53" i="21"/>
  <c r="AH53" i="21"/>
  <c r="AI53" i="21"/>
  <c r="AJ53" i="21"/>
  <c r="AK53" i="21"/>
  <c r="AL53" i="21"/>
  <c r="AM53" i="21"/>
  <c r="AN53" i="21"/>
  <c r="AO53" i="21"/>
  <c r="BB54" i="21"/>
  <c r="Y55" i="21"/>
  <c r="Z55" i="21"/>
  <c r="AA55" i="21"/>
  <c r="AB55" i="21"/>
  <c r="AC55" i="21"/>
  <c r="BB55" i="21" s="1"/>
  <c r="AD55" i="21"/>
  <c r="AE55" i="21"/>
  <c r="AF55" i="21"/>
  <c r="AH55" i="21"/>
  <c r="AI55" i="21"/>
  <c r="AJ55" i="21"/>
  <c r="AK55" i="21"/>
  <c r="AL55" i="21"/>
  <c r="AM55" i="21"/>
  <c r="AN55" i="21"/>
  <c r="AO55" i="21"/>
  <c r="BB56" i="21"/>
  <c r="BB57" i="21"/>
  <c r="AH57" i="21"/>
  <c r="AI57" i="21"/>
  <c r="AJ57" i="21"/>
  <c r="AK57" i="21"/>
  <c r="AL57" i="21"/>
  <c r="AM57" i="21"/>
  <c r="AN57" i="21"/>
  <c r="AO57" i="21"/>
  <c r="BB58" i="21"/>
  <c r="BB59" i="21"/>
  <c r="BB60" i="21"/>
  <c r="AH60" i="21"/>
  <c r="AI60" i="21"/>
  <c r="AJ60" i="21"/>
  <c r="AK60" i="21"/>
  <c r="AL60" i="21"/>
  <c r="AM60" i="21"/>
  <c r="AN60" i="21"/>
  <c r="AO60" i="21"/>
  <c r="BB61" i="21"/>
  <c r="BB62" i="21"/>
  <c r="BB63" i="21"/>
  <c r="AH63" i="21"/>
  <c r="G18" i="18" s="1"/>
  <c r="AI63" i="21"/>
  <c r="D19" i="18" s="1"/>
  <c r="AJ63" i="21"/>
  <c r="AK63" i="21"/>
  <c r="D17" i="18" s="1"/>
  <c r="AL63" i="21"/>
  <c r="D21" i="18" s="1"/>
  <c r="AM63" i="21"/>
  <c r="J21" i="18" s="1"/>
  <c r="AN63" i="21"/>
  <c r="J17" i="18" s="1"/>
  <c r="AO63" i="21"/>
  <c r="BB64" i="21"/>
  <c r="BB65" i="21"/>
  <c r="AH65" i="21"/>
  <c r="AI65" i="21"/>
  <c r="AJ65" i="21"/>
  <c r="AK65" i="21"/>
  <c r="AL65" i="21"/>
  <c r="AM65" i="21"/>
  <c r="AN65" i="21"/>
  <c r="AO65" i="21"/>
  <c r="BB66" i="21"/>
  <c r="Y67" i="21"/>
  <c r="Z67" i="21"/>
  <c r="AA67" i="21"/>
  <c r="AB67" i="21"/>
  <c r="AC67" i="21"/>
  <c r="BB67" i="21" s="1"/>
  <c r="AD67" i="21"/>
  <c r="AE67" i="21"/>
  <c r="AF67" i="21"/>
  <c r="AH67" i="21"/>
  <c r="AI67" i="21"/>
  <c r="AJ67" i="21"/>
  <c r="AK67" i="21"/>
  <c r="AL67" i="21"/>
  <c r="AM67" i="21"/>
  <c r="AN67" i="21"/>
  <c r="AO67" i="21"/>
  <c r="BB68" i="21"/>
  <c r="BB69" i="21"/>
  <c r="AH69" i="21"/>
  <c r="AI69" i="21"/>
  <c r="AJ69" i="21"/>
  <c r="AK69" i="21"/>
  <c r="AL69" i="21"/>
  <c r="AM69" i="21"/>
  <c r="AN69" i="21"/>
  <c r="AO69" i="21"/>
  <c r="Y70" i="21"/>
  <c r="Z70" i="21"/>
  <c r="AA70" i="21"/>
  <c r="AB70" i="21"/>
  <c r="AC70" i="21"/>
  <c r="BB70" i="21" s="1"/>
  <c r="AD70" i="21"/>
  <c r="AE70" i="21"/>
  <c r="AF70" i="21"/>
  <c r="AH70" i="21"/>
  <c r="AI70" i="21"/>
  <c r="AJ70" i="21"/>
  <c r="AK70" i="21"/>
  <c r="AL70" i="21"/>
  <c r="AM70" i="21"/>
  <c r="AN70" i="21"/>
  <c r="AO70" i="21"/>
  <c r="BB71" i="21"/>
  <c r="AH71" i="21"/>
  <c r="AI71" i="21"/>
  <c r="AJ71" i="21"/>
  <c r="AK71" i="21"/>
  <c r="AL71" i="21"/>
  <c r="AM71" i="21"/>
  <c r="AN71" i="21"/>
  <c r="AO71" i="21"/>
  <c r="Y72" i="21"/>
  <c r="Z72" i="21"/>
  <c r="AA72" i="21"/>
  <c r="AB72" i="21"/>
  <c r="AC72" i="21"/>
  <c r="BB72" i="21" s="1"/>
  <c r="AD72" i="21"/>
  <c r="AE72" i="21"/>
  <c r="AF72" i="21"/>
  <c r="AH72" i="21"/>
  <c r="AI72" i="21"/>
  <c r="AJ72" i="21"/>
  <c r="AK72" i="21"/>
  <c r="AL72" i="21"/>
  <c r="AM72" i="21"/>
  <c r="AN72" i="21"/>
  <c r="AO72" i="21"/>
  <c r="Y73" i="21"/>
  <c r="Z73" i="21"/>
  <c r="AA73" i="21"/>
  <c r="AB73" i="21"/>
  <c r="AC73" i="21"/>
  <c r="BB73" i="21" s="1"/>
  <c r="AD73" i="21"/>
  <c r="AE73" i="21"/>
  <c r="AF73" i="21"/>
  <c r="AH73" i="21"/>
  <c r="AI73" i="21"/>
  <c r="AJ73" i="21"/>
  <c r="AK73" i="21"/>
  <c r="AL73" i="21"/>
  <c r="AM73" i="21"/>
  <c r="AN73" i="21"/>
  <c r="AO73" i="21"/>
  <c r="Y74" i="21"/>
  <c r="Z74" i="21"/>
  <c r="AA74" i="21"/>
  <c r="AB74" i="21"/>
  <c r="AC74" i="21"/>
  <c r="BB74" i="21" s="1"/>
  <c r="AD74" i="21"/>
  <c r="AE74" i="21"/>
  <c r="AF74" i="21"/>
  <c r="AH74" i="21"/>
  <c r="AI74" i="21"/>
  <c r="AJ74" i="21"/>
  <c r="AK74" i="21"/>
  <c r="AL74" i="21"/>
  <c r="AM74" i="21"/>
  <c r="AN74" i="21"/>
  <c r="AO74" i="21"/>
  <c r="BB75" i="21"/>
  <c r="AH75" i="21"/>
  <c r="AI75" i="21"/>
  <c r="AJ75" i="21"/>
  <c r="AK75" i="21"/>
  <c r="AL75" i="21"/>
  <c r="AM75" i="21"/>
  <c r="AN75" i="21"/>
  <c r="AO75" i="21"/>
  <c r="Y76" i="21"/>
  <c r="Z76" i="21"/>
  <c r="AA76" i="21"/>
  <c r="AB76" i="21"/>
  <c r="AC76" i="21"/>
  <c r="BB76" i="21" s="1"/>
  <c r="AD76" i="21"/>
  <c r="AE76" i="21"/>
  <c r="AF76" i="21"/>
  <c r="AH76" i="21"/>
  <c r="AI76" i="21"/>
  <c r="AJ76" i="21"/>
  <c r="AK76" i="21"/>
  <c r="AL76" i="21"/>
  <c r="AM76" i="21"/>
  <c r="AN76" i="21"/>
  <c r="AO76" i="21"/>
  <c r="Y77" i="21"/>
  <c r="Z77" i="21"/>
  <c r="AA77" i="21"/>
  <c r="AB77" i="21"/>
  <c r="AC77" i="21"/>
  <c r="BB77" i="21" s="1"/>
  <c r="AD77" i="21"/>
  <c r="AE77" i="21"/>
  <c r="AF77" i="21"/>
  <c r="AH77" i="21"/>
  <c r="AI77" i="21"/>
  <c r="AJ77" i="21"/>
  <c r="AK77" i="21"/>
  <c r="AL77" i="21"/>
  <c r="AM77" i="21"/>
  <c r="AN77" i="21"/>
  <c r="AO77" i="21"/>
  <c r="AH3" i="21"/>
  <c r="AI3" i="21"/>
  <c r="AJ3" i="21"/>
  <c r="AK3" i="21"/>
  <c r="AL3" i="21"/>
  <c r="AM3" i="21"/>
  <c r="AN3" i="21"/>
  <c r="AO3" i="21"/>
  <c r="Y3" i="21"/>
  <c r="Z3" i="21"/>
  <c r="AA3" i="21"/>
  <c r="AB3" i="21"/>
  <c r="AC3" i="21"/>
  <c r="BB3" i="21" s="1"/>
  <c r="AD3" i="21"/>
  <c r="AE3" i="21"/>
  <c r="AF3" i="21"/>
  <c r="AO2" i="21"/>
  <c r="AN2" i="21"/>
  <c r="AM2" i="21"/>
  <c r="AL2" i="21"/>
  <c r="AK2" i="21"/>
  <c r="AJ2" i="21"/>
  <c r="AI2" i="21"/>
  <c r="AH2" i="21"/>
  <c r="W3" i="21"/>
  <c r="AY3" i="21" s="1"/>
  <c r="W4" i="21"/>
  <c r="AY4" i="21" s="1"/>
  <c r="W5" i="21"/>
  <c r="AY5" i="21" s="1"/>
  <c r="W6" i="21"/>
  <c r="AY6" i="21" s="1"/>
  <c r="AY7" i="21"/>
  <c r="W8" i="21"/>
  <c r="AY8" i="21" s="1"/>
  <c r="W9" i="21"/>
  <c r="AY9" i="21" s="1"/>
  <c r="W10" i="21"/>
  <c r="AY10" i="21" s="1"/>
  <c r="AY11" i="21"/>
  <c r="W12" i="21"/>
  <c r="AY12" i="21" s="1"/>
  <c r="W13" i="21"/>
  <c r="AY13" i="21" s="1"/>
  <c r="W14" i="21"/>
  <c r="AY14" i="21" s="1"/>
  <c r="W15" i="21"/>
  <c r="AY15" i="21" s="1"/>
  <c r="W16" i="21"/>
  <c r="AY16" i="21" s="1"/>
  <c r="W17" i="21"/>
  <c r="AY17" i="21" s="1"/>
  <c r="W18" i="21"/>
  <c r="AY18" i="21" s="1"/>
  <c r="W19" i="21"/>
  <c r="AY19" i="21" s="1"/>
  <c r="AY20" i="21"/>
  <c r="W21" i="21"/>
  <c r="AY21" i="21" s="1"/>
  <c r="AY22" i="21"/>
  <c r="AY23" i="21"/>
  <c r="W24" i="21"/>
  <c r="AY24" i="21" s="1"/>
  <c r="W25" i="21"/>
  <c r="AY25" i="21" s="1"/>
  <c r="AY26" i="21"/>
  <c r="AY27" i="21"/>
  <c r="AY28" i="21"/>
  <c r="W29" i="21"/>
  <c r="AY29" i="21" s="1"/>
  <c r="W30" i="21"/>
  <c r="AY30" i="21" s="1"/>
  <c r="W31" i="21"/>
  <c r="AY31" i="21" s="1"/>
  <c r="AY32" i="21"/>
  <c r="W33" i="21"/>
  <c r="AY33" i="21" s="1"/>
  <c r="W34" i="21"/>
  <c r="AY34" i="21" s="1"/>
  <c r="W35" i="21"/>
  <c r="AY35" i="21" s="1"/>
  <c r="W36" i="21"/>
  <c r="AY36" i="21" s="1"/>
  <c r="AY37" i="21"/>
  <c r="W38" i="21"/>
  <c r="AY38" i="21" s="1"/>
  <c r="AY39" i="21"/>
  <c r="W40" i="21"/>
  <c r="AY40" i="21" s="1"/>
  <c r="W41" i="21"/>
  <c r="AY41" i="21" s="1"/>
  <c r="W42" i="21"/>
  <c r="AY42" i="21" s="1"/>
  <c r="W43" i="21"/>
  <c r="AY43" i="21" s="1"/>
  <c r="W44" i="21"/>
  <c r="AY44" i="21" s="1"/>
  <c r="W45" i="21"/>
  <c r="AY45" i="21" s="1"/>
  <c r="W46" i="21"/>
  <c r="AY46" i="21" s="1"/>
  <c r="AY47" i="21"/>
  <c r="AY48" i="21"/>
  <c r="AY49" i="21"/>
  <c r="W50" i="21"/>
  <c r="AY50" i="21" s="1"/>
  <c r="AY51" i="21"/>
  <c r="AY52" i="21"/>
  <c r="AY53" i="21"/>
  <c r="W54" i="21"/>
  <c r="AY54" i="21" s="1"/>
  <c r="W55" i="21"/>
  <c r="AY55" i="21" s="1"/>
  <c r="AY56" i="21"/>
  <c r="W57" i="21"/>
  <c r="AY57" i="21" s="1"/>
  <c r="W58" i="21"/>
  <c r="AY58" i="21" s="1"/>
  <c r="AY59" i="21"/>
  <c r="AY60" i="21"/>
  <c r="W61" i="21"/>
  <c r="AY61" i="21" s="1"/>
  <c r="W62" i="21"/>
  <c r="AY62" i="21" s="1"/>
  <c r="AY63" i="21"/>
  <c r="AY64" i="21"/>
  <c r="AY65" i="21"/>
  <c r="AY66" i="21"/>
  <c r="W67" i="21"/>
  <c r="AY67" i="21" s="1"/>
  <c r="W68" i="21"/>
  <c r="AY68" i="21" s="1"/>
  <c r="AY69" i="21"/>
  <c r="W70" i="21"/>
  <c r="AY70" i="21" s="1"/>
  <c r="AY71" i="21"/>
  <c r="W72" i="21"/>
  <c r="AY72" i="21" s="1"/>
  <c r="W73" i="21"/>
  <c r="AY73" i="21" s="1"/>
  <c r="W74" i="21"/>
  <c r="AY74" i="21" s="1"/>
  <c r="AY75" i="21"/>
  <c r="W76" i="21"/>
  <c r="AY76" i="21" s="1"/>
  <c r="W77" i="21"/>
  <c r="AY77" i="21" s="1"/>
  <c r="W78" i="21"/>
  <c r="AY78" i="21" s="1"/>
  <c r="L3" i="21"/>
  <c r="N3" i="21"/>
  <c r="N4" i="21"/>
  <c r="L5" i="21"/>
  <c r="M5" i="21" s="1"/>
  <c r="N5" i="21"/>
  <c r="O5" i="21" s="1"/>
  <c r="L6" i="21"/>
  <c r="M6" i="21" s="1"/>
  <c r="N6" i="21"/>
  <c r="O6" i="21" s="1"/>
  <c r="N7" i="21"/>
  <c r="L8" i="21"/>
  <c r="M8" i="21" s="1"/>
  <c r="N8" i="21"/>
  <c r="O8" i="21" s="1"/>
  <c r="L9" i="21"/>
  <c r="M9" i="21" s="1"/>
  <c r="N9" i="21"/>
  <c r="O9" i="21" s="1"/>
  <c r="L10" i="21"/>
  <c r="M10" i="21" s="1"/>
  <c r="N10" i="21"/>
  <c r="O10" i="21" s="1"/>
  <c r="L11" i="21"/>
  <c r="M11" i="21" s="1"/>
  <c r="N11" i="21"/>
  <c r="O11" i="21" s="1"/>
  <c r="L12" i="21"/>
  <c r="M12" i="21" s="1"/>
  <c r="N12" i="21"/>
  <c r="O12" i="21" s="1"/>
  <c r="L13" i="21"/>
  <c r="M13" i="21" s="1"/>
  <c r="N13" i="21"/>
  <c r="O13" i="21" s="1"/>
  <c r="L14" i="21"/>
  <c r="M14" i="21" s="1"/>
  <c r="N14" i="21"/>
  <c r="O14" i="21" s="1"/>
  <c r="L15" i="21"/>
  <c r="M15" i="21" s="1"/>
  <c r="N15" i="21"/>
  <c r="O15" i="21" s="1"/>
  <c r="L16" i="21"/>
  <c r="M16" i="21" s="1"/>
  <c r="N16" i="21"/>
  <c r="O16" i="21" s="1"/>
  <c r="L17" i="21"/>
  <c r="M17" i="21" s="1"/>
  <c r="N17" i="21"/>
  <c r="O17" i="21" s="1"/>
  <c r="L18" i="21"/>
  <c r="M18" i="21" s="1"/>
  <c r="N18" i="21"/>
  <c r="O18" i="21" s="1"/>
  <c r="L19" i="21"/>
  <c r="M19" i="21" s="1"/>
  <c r="N19" i="21"/>
  <c r="O19" i="21" s="1"/>
  <c r="L20" i="21"/>
  <c r="M20" i="21" s="1"/>
  <c r="N20" i="21"/>
  <c r="O20" i="21" s="1"/>
  <c r="L21" i="21"/>
  <c r="M21" i="21" s="1"/>
  <c r="N21" i="21"/>
  <c r="O21" i="21" s="1"/>
  <c r="L22" i="21"/>
  <c r="M22" i="21" s="1"/>
  <c r="N22" i="21"/>
  <c r="L23" i="21"/>
  <c r="M23" i="21" s="1"/>
  <c r="N23" i="21"/>
  <c r="O23" i="21" s="1"/>
  <c r="L24" i="21"/>
  <c r="M24" i="21" s="1"/>
  <c r="N24" i="21"/>
  <c r="O24" i="21" s="1"/>
  <c r="L25" i="21"/>
  <c r="M25" i="21" s="1"/>
  <c r="N25" i="21"/>
  <c r="O25" i="21" s="1"/>
  <c r="L26" i="21"/>
  <c r="M26" i="21" s="1"/>
  <c r="N26" i="21"/>
  <c r="O26" i="21" s="1"/>
  <c r="L27" i="21"/>
  <c r="M27" i="21" s="1"/>
  <c r="N27" i="21"/>
  <c r="L28" i="21"/>
  <c r="M28" i="21" s="1"/>
  <c r="N28" i="21"/>
  <c r="O28" i="21" s="1"/>
  <c r="L29" i="21"/>
  <c r="M29" i="21" s="1"/>
  <c r="N29" i="21"/>
  <c r="O29" i="21" s="1"/>
  <c r="L30" i="21"/>
  <c r="M30" i="21" s="1"/>
  <c r="N30" i="21"/>
  <c r="O30" i="21" s="1"/>
  <c r="L31" i="21"/>
  <c r="M31" i="21" s="1"/>
  <c r="N31" i="21"/>
  <c r="O31" i="21" s="1"/>
  <c r="L32" i="21"/>
  <c r="M32" i="21" s="1"/>
  <c r="N32" i="21"/>
  <c r="O32" i="21" s="1"/>
  <c r="L33" i="21"/>
  <c r="M33" i="21" s="1"/>
  <c r="N33" i="21"/>
  <c r="O33" i="21" s="1"/>
  <c r="L34" i="21"/>
  <c r="M34" i="21" s="1"/>
  <c r="N34" i="21"/>
  <c r="O34" i="21" s="1"/>
  <c r="L35" i="21"/>
  <c r="M35" i="21" s="1"/>
  <c r="N35" i="21"/>
  <c r="O35" i="21" s="1"/>
  <c r="L36" i="21"/>
  <c r="M36" i="21" s="1"/>
  <c r="N36" i="21"/>
  <c r="O36" i="21" s="1"/>
  <c r="L37" i="21"/>
  <c r="M37" i="21" s="1"/>
  <c r="N37" i="21"/>
  <c r="O37" i="21" s="1"/>
  <c r="L38" i="21"/>
  <c r="M38" i="21" s="1"/>
  <c r="N38" i="21"/>
  <c r="O38" i="21" s="1"/>
  <c r="L39" i="21"/>
  <c r="M39" i="21" s="1"/>
  <c r="N39" i="21"/>
  <c r="O39" i="21" s="1"/>
  <c r="L40" i="21"/>
  <c r="M40" i="21" s="1"/>
  <c r="N40" i="21"/>
  <c r="O40" i="21" s="1"/>
  <c r="L41" i="21"/>
  <c r="M41" i="21" s="1"/>
  <c r="N41" i="21"/>
  <c r="O41" i="21" s="1"/>
  <c r="L42" i="21"/>
  <c r="M42" i="21" s="1"/>
  <c r="N42" i="21"/>
  <c r="O42" i="21" s="1"/>
  <c r="L43" i="21"/>
  <c r="M43" i="21" s="1"/>
  <c r="N43" i="21"/>
  <c r="O43" i="21" s="1"/>
  <c r="L44" i="21"/>
  <c r="M44" i="21" s="1"/>
  <c r="N44" i="21"/>
  <c r="O44" i="21" s="1"/>
  <c r="L45" i="21"/>
  <c r="M45" i="21" s="1"/>
  <c r="N45" i="21"/>
  <c r="O45" i="21" s="1"/>
  <c r="L46" i="21"/>
  <c r="M46" i="21" s="1"/>
  <c r="N46" i="21"/>
  <c r="O46" i="21" s="1"/>
  <c r="L47" i="21"/>
  <c r="M47" i="21" s="1"/>
  <c r="N47" i="21"/>
  <c r="O47" i="21" s="1"/>
  <c r="L48" i="21"/>
  <c r="M48" i="21" s="1"/>
  <c r="N48" i="21"/>
  <c r="O48" i="21" s="1"/>
  <c r="L49" i="21"/>
  <c r="M49" i="21" s="1"/>
  <c r="N49" i="21"/>
  <c r="O49" i="21" s="1"/>
  <c r="L50" i="21"/>
  <c r="M50" i="21" s="1"/>
  <c r="N50" i="21"/>
  <c r="O50" i="21" s="1"/>
  <c r="L51" i="21"/>
  <c r="M51" i="21" s="1"/>
  <c r="N51" i="21"/>
  <c r="O51" i="21" s="1"/>
  <c r="L52" i="21"/>
  <c r="M52" i="21" s="1"/>
  <c r="N52" i="21"/>
  <c r="O52" i="21" s="1"/>
  <c r="L53" i="21"/>
  <c r="M53" i="21" s="1"/>
  <c r="N53" i="21"/>
  <c r="O53" i="21" s="1"/>
  <c r="L54" i="21"/>
  <c r="M54" i="21" s="1"/>
  <c r="N54" i="21"/>
  <c r="O54" i="21" s="1"/>
  <c r="L58" i="21"/>
  <c r="M58" i="21" s="1"/>
  <c r="N58" i="21"/>
  <c r="O58" i="21" s="1"/>
  <c r="L59" i="21"/>
  <c r="M59" i="21" s="1"/>
  <c r="N59" i="21"/>
  <c r="O59" i="21" s="1"/>
  <c r="L60" i="21"/>
  <c r="M60" i="21" s="1"/>
  <c r="N60" i="21"/>
  <c r="O60" i="21" s="1"/>
  <c r="L61" i="21"/>
  <c r="M61" i="21" s="1"/>
  <c r="N61" i="21"/>
  <c r="O61" i="21" s="1"/>
  <c r="L62" i="21"/>
  <c r="M62" i="21" s="1"/>
  <c r="N62" i="21"/>
  <c r="O62" i="21" s="1"/>
  <c r="L64" i="21"/>
  <c r="M64" i="21" s="1"/>
  <c r="N64" i="21"/>
  <c r="O64" i="21" s="1"/>
  <c r="L65" i="21"/>
  <c r="M65" i="21" s="1"/>
  <c r="N65" i="21"/>
  <c r="O65" i="21" s="1"/>
  <c r="L66" i="21"/>
  <c r="M66" i="21" s="1"/>
  <c r="N66" i="21"/>
  <c r="O66" i="21" s="1"/>
  <c r="L67" i="21"/>
  <c r="M67" i="21" s="1"/>
  <c r="N67" i="21"/>
  <c r="O67" i="21" s="1"/>
  <c r="L68" i="21"/>
  <c r="M68" i="21" s="1"/>
  <c r="N68" i="21"/>
  <c r="O68" i="21" s="1"/>
  <c r="L69" i="21"/>
  <c r="M69" i="21" s="1"/>
  <c r="N69" i="21"/>
  <c r="O69" i="21" s="1"/>
  <c r="L70" i="21"/>
  <c r="M70" i="21" s="1"/>
  <c r="N70" i="21"/>
  <c r="O70" i="21" s="1"/>
  <c r="L71" i="21"/>
  <c r="M71" i="21" s="1"/>
  <c r="N71" i="21"/>
  <c r="O71" i="21" s="1"/>
  <c r="L72" i="21"/>
  <c r="M72" i="21" s="1"/>
  <c r="N72" i="21"/>
  <c r="O72" i="21" s="1"/>
  <c r="L73" i="21"/>
  <c r="M73" i="21" s="1"/>
  <c r="N73" i="21"/>
  <c r="O73" i="21" s="1"/>
  <c r="L74" i="21"/>
  <c r="M74" i="21" s="1"/>
  <c r="N74" i="21"/>
  <c r="O74" i="21" s="1"/>
  <c r="L75" i="21"/>
  <c r="M75" i="21" s="1"/>
  <c r="N75" i="21"/>
  <c r="O75" i="21" s="1"/>
  <c r="L76" i="21"/>
  <c r="M76" i="21" s="1"/>
  <c r="N76" i="21"/>
  <c r="O76" i="21" s="1"/>
  <c r="L77" i="21"/>
  <c r="M77" i="21" s="1"/>
  <c r="N77" i="21"/>
  <c r="O77" i="21" s="1"/>
  <c r="L78" i="21"/>
  <c r="M78" i="21" s="1"/>
  <c r="N78" i="21"/>
  <c r="O78" i="21" s="1"/>
  <c r="AW3" i="21"/>
  <c r="AW4" i="21"/>
  <c r="AW5" i="21"/>
  <c r="AW6" i="21"/>
  <c r="AW7" i="21"/>
  <c r="AW8" i="21"/>
  <c r="AW9" i="21"/>
  <c r="AW10" i="21"/>
  <c r="AW11" i="21"/>
  <c r="AW12" i="21"/>
  <c r="AW13" i="21"/>
  <c r="AW14" i="21"/>
  <c r="AW15" i="21"/>
  <c r="AW16" i="21"/>
  <c r="AW17" i="21"/>
  <c r="AW18" i="21"/>
  <c r="AW19" i="21"/>
  <c r="AW20" i="21"/>
  <c r="AW21" i="21"/>
  <c r="AW22" i="21"/>
  <c r="AW23" i="21"/>
  <c r="AW24" i="21"/>
  <c r="AW25" i="21"/>
  <c r="AW26" i="21"/>
  <c r="AW27" i="21"/>
  <c r="AW28" i="21"/>
  <c r="AW29" i="21"/>
  <c r="AW30" i="21"/>
  <c r="AW31" i="21"/>
  <c r="AW32" i="21"/>
  <c r="AW33" i="21"/>
  <c r="AW34" i="21"/>
  <c r="AW35" i="21"/>
  <c r="AW36" i="21"/>
  <c r="AW37" i="21"/>
  <c r="AW38" i="21"/>
  <c r="AW39" i="21"/>
  <c r="AW40" i="21"/>
  <c r="AW41" i="21"/>
  <c r="AW42" i="21"/>
  <c r="AW43" i="21"/>
  <c r="AW44" i="21"/>
  <c r="AW45" i="21"/>
  <c r="AW46" i="21"/>
  <c r="AW47" i="21"/>
  <c r="AW48" i="21"/>
  <c r="AW49" i="21"/>
  <c r="AW50" i="21"/>
  <c r="AW51" i="21"/>
  <c r="AW52" i="21"/>
  <c r="AW53" i="21"/>
  <c r="AW54" i="21"/>
  <c r="AW55" i="21"/>
  <c r="AW56" i="21"/>
  <c r="AW57" i="21"/>
  <c r="AW58" i="21"/>
  <c r="AW59" i="21"/>
  <c r="AW60" i="21"/>
  <c r="AW61" i="21"/>
  <c r="AW62" i="21"/>
  <c r="AW63" i="21"/>
  <c r="AW64" i="21"/>
  <c r="AW65" i="21"/>
  <c r="AW66" i="21"/>
  <c r="AW67" i="21"/>
  <c r="AW68" i="21"/>
  <c r="AW69" i="21"/>
  <c r="AW70" i="21"/>
  <c r="AW71" i="21"/>
  <c r="AW72" i="21"/>
  <c r="AW73" i="21"/>
  <c r="AW74" i="21"/>
  <c r="AW75" i="21"/>
  <c r="AW76" i="21"/>
  <c r="AW77" i="21"/>
  <c r="AW78" i="21"/>
  <c r="AT3" i="21"/>
  <c r="AT4" i="21"/>
  <c r="AT5" i="21"/>
  <c r="AT6" i="21"/>
  <c r="AT7" i="21"/>
  <c r="AT8" i="21"/>
  <c r="AT9" i="21"/>
  <c r="AT10" i="21"/>
  <c r="AT11" i="21"/>
  <c r="AT12" i="21"/>
  <c r="AT13" i="21"/>
  <c r="AT14" i="21"/>
  <c r="AT15" i="21"/>
  <c r="AT16" i="21"/>
  <c r="AT17" i="21"/>
  <c r="AT18" i="21"/>
  <c r="AT19" i="21"/>
  <c r="AT20" i="21"/>
  <c r="AT21" i="21"/>
  <c r="AT22" i="21"/>
  <c r="AT23" i="21"/>
  <c r="AT24" i="21"/>
  <c r="AT25" i="21"/>
  <c r="AT26" i="21"/>
  <c r="AT27" i="21"/>
  <c r="AT28" i="21"/>
  <c r="AT29" i="21"/>
  <c r="AT30" i="21"/>
  <c r="AT31" i="21"/>
  <c r="AT32" i="21"/>
  <c r="AT33" i="21"/>
  <c r="AT34" i="21"/>
  <c r="AT35" i="21"/>
  <c r="AT36" i="21"/>
  <c r="AT37" i="21"/>
  <c r="AT38" i="21"/>
  <c r="AT39" i="21"/>
  <c r="AT40" i="21"/>
  <c r="AT41" i="21"/>
  <c r="AT42" i="21"/>
  <c r="AT43" i="21"/>
  <c r="AT44" i="21"/>
  <c r="AT45" i="21"/>
  <c r="AT46" i="21"/>
  <c r="AT47" i="21"/>
  <c r="AT48" i="21"/>
  <c r="AT49" i="21"/>
  <c r="AT50" i="21"/>
  <c r="AT51" i="21"/>
  <c r="AT52" i="21"/>
  <c r="AT53" i="21"/>
  <c r="AT54" i="21"/>
  <c r="AT55" i="21"/>
  <c r="AT56" i="21"/>
  <c r="AT57" i="21"/>
  <c r="AT58" i="21"/>
  <c r="AT59" i="21"/>
  <c r="AT60" i="21"/>
  <c r="AT61" i="21"/>
  <c r="AT62" i="21"/>
  <c r="AT63" i="21"/>
  <c r="AT64" i="21"/>
  <c r="AT65" i="21"/>
  <c r="AT66" i="21"/>
  <c r="AT67" i="21"/>
  <c r="AT68" i="21"/>
  <c r="AT69" i="21"/>
  <c r="AT70" i="21"/>
  <c r="AT71" i="21"/>
  <c r="AT72" i="21"/>
  <c r="AT73" i="21"/>
  <c r="AT74" i="21"/>
  <c r="AT75" i="21"/>
  <c r="AT76" i="21"/>
  <c r="AT77" i="21"/>
  <c r="AT78" i="21"/>
  <c r="AT2" i="21"/>
  <c r="I3" i="21"/>
  <c r="I5" i="21"/>
  <c r="I6" i="21"/>
  <c r="I8" i="21"/>
  <c r="I9" i="21"/>
  <c r="I10" i="21"/>
  <c r="I11" i="21"/>
  <c r="I12" i="21"/>
  <c r="I13" i="21"/>
  <c r="I14" i="21"/>
  <c r="I15" i="21"/>
  <c r="I16" i="21"/>
  <c r="I17" i="21"/>
  <c r="I18" i="21"/>
  <c r="I19" i="21"/>
  <c r="I20" i="21"/>
  <c r="I21"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8" i="21"/>
  <c r="I59" i="21"/>
  <c r="I60" i="21"/>
  <c r="I61" i="21"/>
  <c r="I62" i="21"/>
  <c r="I64" i="21"/>
  <c r="I65" i="21"/>
  <c r="I66" i="21"/>
  <c r="I67" i="21"/>
  <c r="I68" i="21"/>
  <c r="I69" i="21"/>
  <c r="I70" i="21"/>
  <c r="I71" i="21"/>
  <c r="I72" i="21"/>
  <c r="I73" i="21"/>
  <c r="I74" i="21"/>
  <c r="I75" i="21"/>
  <c r="I76" i="21"/>
  <c r="I77" i="21"/>
  <c r="I78" i="21"/>
  <c r="D27" i="17"/>
  <c r="E18" i="17"/>
  <c r="D18" i="17"/>
  <c r="H4" i="17" s="1"/>
  <c r="T2" i="21" s="1"/>
  <c r="H30" i="18"/>
  <c r="O7" i="21" l="1"/>
  <c r="I7" i="21"/>
  <c r="D40" i="36"/>
  <c r="O27" i="21"/>
  <c r="D39" i="38"/>
  <c r="D39" i="29"/>
  <c r="D39" i="32"/>
  <c r="D40" i="26"/>
  <c r="D39" i="30"/>
  <c r="O22" i="21"/>
  <c r="D39" i="41"/>
  <c r="D39" i="40"/>
  <c r="D39" i="27"/>
  <c r="D39" i="24"/>
  <c r="D44" i="42"/>
  <c r="D39" i="39"/>
  <c r="D39" i="35"/>
  <c r="D39" i="43"/>
  <c r="M3" i="21"/>
  <c r="O3" i="21"/>
  <c r="B16" i="22"/>
  <c r="B15" i="22"/>
  <c r="D37" i="23"/>
  <c r="D39" i="23" s="1"/>
  <c r="E19" i="22"/>
  <c r="E25" i="22" s="1"/>
  <c r="E30" i="22" s="1"/>
  <c r="B11" i="22"/>
  <c r="B14" i="22"/>
  <c r="B12" i="22"/>
  <c r="B17" i="22"/>
  <c r="B13" i="22"/>
  <c r="G3" i="22"/>
  <c r="G4" i="22" s="1"/>
  <c r="S4" i="21" s="1"/>
  <c r="D28" i="22"/>
  <c r="D30" i="22" s="1"/>
  <c r="E31" i="22"/>
  <c r="E33" i="22" s="1"/>
  <c r="D32" i="22"/>
  <c r="D33" i="22" s="1"/>
  <c r="T80" i="21"/>
  <c r="E19" i="17"/>
  <c r="H2" i="21" s="1"/>
  <c r="D28" i="17"/>
  <c r="D30" i="17" s="1"/>
  <c r="E31" i="17"/>
  <c r="E33" i="17" s="1"/>
  <c r="D32" i="17"/>
  <c r="D33" i="17" s="1"/>
  <c r="E20" i="22" l="1"/>
  <c r="E37" i="22"/>
  <c r="H4" i="21"/>
  <c r="O4" i="21" s="1"/>
  <c r="D37" i="22"/>
  <c r="E25" i="17"/>
  <c r="E30" i="17" s="1"/>
  <c r="E37" i="17" s="1"/>
  <c r="D37" i="17"/>
  <c r="D39" i="22" l="1"/>
  <c r="L4" i="21"/>
  <c r="M4" i="21" s="1"/>
  <c r="I4" i="21"/>
  <c r="H80" i="21"/>
  <c r="D39" i="17"/>
  <c r="E9" i="18" l="1"/>
  <c r="E17" i="18"/>
  <c r="M29" i="18" l="1"/>
  <c r="E5" i="24"/>
  <c r="E7" i="24" s="1"/>
  <c r="B13" i="24" l="1"/>
  <c r="G3" i="24"/>
  <c r="G4" i="24" s="1"/>
  <c r="S5" i="21" s="1"/>
  <c r="B15" i="24"/>
  <c r="B14" i="24"/>
  <c r="B12" i="24"/>
  <c r="B16" i="24"/>
  <c r="B17" i="24"/>
  <c r="B11" i="24"/>
  <c r="E20" i="24"/>
  <c r="I63" i="21" l="1"/>
  <c r="N63" i="21"/>
  <c r="O63" i="21" l="1"/>
  <c r="L26" i="18"/>
  <c r="L63" i="21"/>
  <c r="M63" i="21" s="1"/>
  <c r="E4" i="44"/>
  <c r="E3" i="44" s="1"/>
  <c r="E5" i="44" s="1"/>
  <c r="E7" i="44" s="1"/>
  <c r="D27" i="18"/>
  <c r="G3" i="44" l="1"/>
  <c r="G4" i="44" s="1"/>
  <c r="S63" i="21" s="1"/>
  <c r="B13" i="44"/>
  <c r="B15" i="44"/>
  <c r="B11" i="44"/>
  <c r="B16" i="44"/>
  <c r="B12" i="44"/>
  <c r="B14" i="44"/>
  <c r="E20" i="44"/>
  <c r="B17" i="44"/>
  <c r="E4" i="17"/>
  <c r="E3" i="17" l="1"/>
  <c r="E5" i="17" s="1"/>
  <c r="E7" i="17" s="1"/>
  <c r="I2" i="21"/>
  <c r="L2" i="21"/>
  <c r="N2" i="21"/>
  <c r="O2" i="21" l="1"/>
  <c r="M2" i="21"/>
  <c r="E20" i="17"/>
  <c r="B16" i="17"/>
  <c r="B12" i="17"/>
  <c r="B13" i="17"/>
  <c r="B14" i="17"/>
  <c r="B17" i="17"/>
  <c r="B11" i="17"/>
  <c r="G3" i="17"/>
  <c r="G4" i="17" s="1"/>
  <c r="S2" i="21" s="1"/>
  <c r="B15" i="17"/>
  <c r="I55" i="21" l="1"/>
  <c r="E4" i="42"/>
  <c r="E3" i="42" s="1"/>
  <c r="E5" i="42" s="1"/>
  <c r="E7" i="42" s="1"/>
  <c r="B17" i="42" s="1"/>
  <c r="L56" i="21"/>
  <c r="M56" i="21" s="1"/>
  <c r="I56" i="21"/>
  <c r="E4" i="52"/>
  <c r="E3" i="52" s="1"/>
  <c r="E5" i="52" s="1"/>
  <c r="E7" i="52" s="1"/>
  <c r="N56" i="21"/>
  <c r="O56" i="21" s="1"/>
  <c r="L57" i="21"/>
  <c r="I57" i="21"/>
  <c r="F80" i="21"/>
  <c r="N55" i="21"/>
  <c r="N57" i="21"/>
  <c r="O57" i="21" s="1"/>
  <c r="L55" i="21"/>
  <c r="M55" i="21" s="1"/>
  <c r="I80" i="21" l="1"/>
  <c r="B16" i="52"/>
  <c r="B11" i="52"/>
  <c r="B17" i="52"/>
  <c r="G3" i="52"/>
  <c r="G4" i="52" s="1"/>
  <c r="S56" i="21" s="1"/>
  <c r="B15" i="52"/>
  <c r="B12" i="52"/>
  <c r="B13" i="52"/>
  <c r="B14" i="52"/>
  <c r="E20" i="52"/>
  <c r="M57" i="21"/>
  <c r="B11" i="42"/>
  <c r="B16" i="42"/>
  <c r="B13" i="42"/>
  <c r="B15" i="42"/>
  <c r="B12" i="42"/>
  <c r="B14" i="42"/>
  <c r="E25" i="42"/>
  <c r="G3" i="42"/>
  <c r="G4" i="42" s="1"/>
  <c r="S57" i="21" s="1"/>
  <c r="O55" i="21"/>
  <c r="O80" i="21" s="1"/>
  <c r="N80" i="21"/>
  <c r="S80"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7" authorId="0" shapeId="0" xr:uid="{5E4711A9-BBFC-4777-9B11-F45F17B348A6}">
      <text>
        <r>
          <rPr>
            <b/>
            <sz val="9"/>
            <color indexed="81"/>
            <rFont val="Tahoma"/>
            <charset val="1"/>
          </rPr>
          <t>Admin:</t>
        </r>
        <r>
          <rPr>
            <sz val="9"/>
            <color indexed="81"/>
            <rFont val="Tahoma"/>
            <charset val="1"/>
          </rPr>
          <t xml:space="preserve">
Basic Cost = 82,22,500
GST = 4,11,125
TOTAL = 86,33,625</t>
        </r>
      </text>
    </comment>
    <comment ref="F11" authorId="0" shapeId="0" xr:uid="{0D456CDB-8A32-4C8A-9F7E-46AA4ED61530}">
      <text>
        <r>
          <rPr>
            <b/>
            <sz val="9"/>
            <color indexed="81"/>
            <rFont val="Tahoma"/>
            <charset val="1"/>
          </rPr>
          <t>Admin:</t>
        </r>
        <r>
          <rPr>
            <sz val="9"/>
            <color indexed="81"/>
            <rFont val="Tahoma"/>
            <charset val="1"/>
          </rPr>
          <t xml:space="preserve">
Basic Cost = 98,15,000
GST = 4,90,750
TOTAL = 1,03,05,750</t>
        </r>
      </text>
    </comment>
    <comment ref="F20" authorId="0" shapeId="0" xr:uid="{98AA5DE7-D85D-41B1-8CBB-4A03B2951230}">
      <text>
        <r>
          <rPr>
            <b/>
            <sz val="9"/>
            <color indexed="81"/>
            <rFont val="Tahoma"/>
            <charset val="1"/>
          </rPr>
          <t>Admin:</t>
        </r>
        <r>
          <rPr>
            <sz val="9"/>
            <color indexed="81"/>
            <rFont val="Tahoma"/>
            <charset val="1"/>
          </rPr>
          <t xml:space="preserve">
Basic Cost = 1,00,01,160
GST = 5,00,058
TOTAL = 1,05,01,218</t>
        </r>
      </text>
    </comment>
    <comment ref="F22" authorId="0" shapeId="0" xr:uid="{7EAE6B16-0F92-4F36-B7FB-2E945A6A69EC}">
      <text>
        <r>
          <rPr>
            <b/>
            <sz val="9"/>
            <color indexed="81"/>
            <rFont val="Tahoma"/>
            <charset val="1"/>
          </rPr>
          <t>Admin:</t>
        </r>
        <r>
          <rPr>
            <sz val="9"/>
            <color indexed="81"/>
            <rFont val="Tahoma"/>
            <charset val="1"/>
          </rPr>
          <t xml:space="preserve">
Basic Cost = 83,49,000
GST = 4,17,450
TOTAL = 87,66,450</t>
        </r>
      </text>
    </comment>
    <comment ref="F23" authorId="0" shapeId="0" xr:uid="{AA97B352-260B-4FE4-98C3-045A68939702}">
      <text>
        <r>
          <rPr>
            <b/>
            <sz val="9"/>
            <color indexed="81"/>
            <rFont val="Tahoma"/>
            <charset val="1"/>
          </rPr>
          <t>Admin:</t>
        </r>
        <r>
          <rPr>
            <sz val="9"/>
            <color indexed="81"/>
            <rFont val="Tahoma"/>
            <charset val="1"/>
          </rPr>
          <t xml:space="preserve">
Basic Cost = 97,17,500
GST = 4,85,875
TOTAL = 1,02,03,375</t>
        </r>
      </text>
    </comment>
    <comment ref="F26" authorId="0" shapeId="0" xr:uid="{BB1EB667-6557-4E56-B2B9-37B6E28E9B14}">
      <text>
        <r>
          <rPr>
            <b/>
            <sz val="9"/>
            <color indexed="81"/>
            <rFont val="Tahoma"/>
            <family val="2"/>
          </rPr>
          <t>Admin:</t>
        </r>
        <r>
          <rPr>
            <sz val="9"/>
            <color indexed="81"/>
            <rFont val="Tahoma"/>
            <family val="2"/>
          </rPr>
          <t xml:space="preserve">
Flat Value = 90,60,000
GST = 4,53,000
TOTAL = 95,13,000</t>
        </r>
      </text>
    </comment>
    <comment ref="F27" authorId="0" shapeId="0" xr:uid="{70F46B81-446C-422C-B3C1-85214C6113F1}">
      <text>
        <r>
          <rPr>
            <b/>
            <sz val="9"/>
            <color indexed="81"/>
            <rFont val="Tahoma"/>
            <charset val="1"/>
          </rPr>
          <t>Admin:</t>
        </r>
        <r>
          <rPr>
            <sz val="9"/>
            <color indexed="81"/>
            <rFont val="Tahoma"/>
            <charset val="1"/>
          </rPr>
          <t xml:space="preserve">
Basic Cost = 76,53,250
GST = 3,82,663
TOTAL = 80,35,913</t>
        </r>
      </text>
    </comment>
    <comment ref="F28" authorId="0" shapeId="0" xr:uid="{980DD241-A12A-4925-BC83-4AED02CD062C}">
      <text>
        <r>
          <rPr>
            <b/>
            <sz val="9"/>
            <color indexed="81"/>
            <rFont val="Tahoma"/>
            <charset val="1"/>
          </rPr>
          <t>Admin:</t>
        </r>
        <r>
          <rPr>
            <sz val="9"/>
            <color indexed="81"/>
            <rFont val="Tahoma"/>
            <charset val="1"/>
          </rPr>
          <t xml:space="preserve">
Basic Cost = 95,08,200
GST = 4,75,410
TOTAL =99,83,610 </t>
        </r>
      </text>
    </comment>
    <comment ref="F32" authorId="0" shapeId="0" xr:uid="{1F9E5ED5-BF3B-43E8-8A1C-FACAB6D2566C}">
      <text>
        <r>
          <rPr>
            <b/>
            <sz val="9"/>
            <color indexed="81"/>
            <rFont val="Tahoma"/>
            <charset val="1"/>
          </rPr>
          <t>Admin:</t>
        </r>
        <r>
          <rPr>
            <sz val="9"/>
            <color indexed="81"/>
            <rFont val="Tahoma"/>
            <charset val="1"/>
          </rPr>
          <t xml:space="preserve">
Basic Cost = 83,49,000
GST = 4,17,450
TOTAL = 87,66,450</t>
        </r>
      </text>
    </comment>
    <comment ref="F33" authorId="0" shapeId="0" xr:uid="{613CF40F-0603-442D-8404-B76940F52897}">
      <text>
        <r>
          <rPr>
            <b/>
            <sz val="9"/>
            <color indexed="81"/>
            <rFont val="Tahoma"/>
            <charset val="1"/>
          </rPr>
          <t>Admin:</t>
        </r>
        <r>
          <rPr>
            <sz val="9"/>
            <color indexed="81"/>
            <rFont val="Tahoma"/>
            <charset val="1"/>
          </rPr>
          <t xml:space="preserve">
Basic Cost = 96,42,750
GST = 4,82,137
TOTAL = 1,01,24,888</t>
        </r>
      </text>
    </comment>
    <comment ref="F37" authorId="0" shapeId="0" xr:uid="{994C40BE-934E-4D76-AF29-ECAD38D11B80}">
      <text>
        <r>
          <rPr>
            <b/>
            <sz val="9"/>
            <color indexed="81"/>
            <rFont val="Tahoma"/>
            <charset val="1"/>
          </rPr>
          <t>Admin:</t>
        </r>
        <r>
          <rPr>
            <sz val="9"/>
            <color indexed="81"/>
            <rFont val="Tahoma"/>
            <charset val="1"/>
          </rPr>
          <t xml:space="preserve">
Basic Cost = 76,53,250
GST = 3,82,663
TOTAL = 80,35,913</t>
        </r>
      </text>
    </comment>
    <comment ref="F42" authorId="0" shapeId="0" xr:uid="{FE29FF1F-D777-4411-A468-332A19B0B25A}">
      <text>
        <r>
          <rPr>
            <b/>
            <sz val="9"/>
            <color indexed="81"/>
            <rFont val="Tahoma"/>
            <charset val="1"/>
          </rPr>
          <t>Admin:</t>
        </r>
        <r>
          <rPr>
            <sz val="9"/>
            <color indexed="81"/>
            <rFont val="Tahoma"/>
            <charset val="1"/>
          </rPr>
          <t xml:space="preserve">
Basic Cost = 82,85,750
GST = 4,14,288
TOTAL = 87,00,038</t>
        </r>
      </text>
    </comment>
    <comment ref="F47" authorId="0" shapeId="0" xr:uid="{A7D854A0-E8E1-40EB-AA04-0D7B3E291EB6}">
      <text>
        <r>
          <rPr>
            <b/>
            <sz val="9"/>
            <color indexed="81"/>
            <rFont val="Tahoma"/>
            <charset val="1"/>
          </rPr>
          <t>Admin:</t>
        </r>
        <r>
          <rPr>
            <sz val="9"/>
            <color indexed="81"/>
            <rFont val="Tahoma"/>
            <charset val="1"/>
          </rPr>
          <t xml:space="preserve">
Basic Cost = 76,53,250
GST = 3,82,663
TOTAL = 80,35,913</t>
        </r>
      </text>
    </comment>
    <comment ref="F48" authorId="0" shapeId="0" xr:uid="{EDD5ADBC-7CC0-4899-AD07-50E01E4801A4}">
      <text>
        <r>
          <rPr>
            <b/>
            <sz val="9"/>
            <color indexed="81"/>
            <rFont val="Tahoma"/>
            <charset val="1"/>
          </rPr>
          <t>Admin:</t>
        </r>
        <r>
          <rPr>
            <sz val="9"/>
            <color indexed="81"/>
            <rFont val="Tahoma"/>
            <charset val="1"/>
          </rPr>
          <t xml:space="preserve">
Basic Cost = 95,08,200
GST = 4,75,410
TOTAL = 99,83,610</t>
        </r>
      </text>
    </comment>
    <comment ref="F49" authorId="0" shapeId="0" xr:uid="{FFA2509D-825F-40F1-9D67-8AB43335100D}">
      <text>
        <r>
          <rPr>
            <b/>
            <sz val="9"/>
            <color indexed="81"/>
            <rFont val="Tahoma"/>
            <charset val="1"/>
          </rPr>
          <t>Admin:</t>
        </r>
        <r>
          <rPr>
            <sz val="9"/>
            <color indexed="81"/>
            <rFont val="Tahoma"/>
            <charset val="1"/>
          </rPr>
          <t xml:space="preserve">
Basic Cost = 98,61,500
GST = 4,93,075
TOTAL = 1,03,54,575</t>
        </r>
      </text>
    </comment>
    <comment ref="F52" authorId="0" shapeId="0" xr:uid="{A254080A-EE17-4C74-8E0D-38BB64952E91}">
      <text>
        <r>
          <rPr>
            <b/>
            <sz val="9"/>
            <color indexed="81"/>
            <rFont val="Tahoma"/>
            <charset val="1"/>
          </rPr>
          <t>Admin:</t>
        </r>
        <r>
          <rPr>
            <sz val="9"/>
            <color indexed="81"/>
            <rFont val="Tahoma"/>
            <charset val="1"/>
          </rPr>
          <t xml:space="preserve">
Basic Cost = 76,53,250
GST = 3,82,663
TOTAL = 80,35,913</t>
        </r>
      </text>
    </comment>
    <comment ref="F53" authorId="0" shapeId="0" xr:uid="{3B17E5F3-3787-4349-A64E-ED6FC37AF60D}">
      <text>
        <r>
          <rPr>
            <b/>
            <sz val="9"/>
            <color indexed="81"/>
            <rFont val="Tahoma"/>
            <charset val="1"/>
          </rPr>
          <t>Admin:</t>
        </r>
        <r>
          <rPr>
            <sz val="9"/>
            <color indexed="81"/>
            <rFont val="Tahoma"/>
            <charset val="1"/>
          </rPr>
          <t xml:space="preserve">
Basic Cost = 98,67,000
GST = 4,93,350
TOTAL = 1,03,60,350</t>
        </r>
      </text>
    </comment>
    <comment ref="F54" authorId="0" shapeId="0" xr:uid="{C8D180C9-3065-404A-B1CD-EEA516E894D7}">
      <text>
        <r>
          <rPr>
            <b/>
            <sz val="9"/>
            <color indexed="81"/>
            <rFont val="Tahoma"/>
            <charset val="1"/>
          </rPr>
          <t>Admin:</t>
        </r>
        <r>
          <rPr>
            <sz val="9"/>
            <color indexed="81"/>
            <rFont val="Tahoma"/>
            <charset val="1"/>
          </rPr>
          <t xml:space="preserve">
Basic Cost = 1,11,24,750
Clubhouse = 2,00,000
GST = 5,56,238
Cess = 79,273
TOTAL = </t>
        </r>
      </text>
    </comment>
    <comment ref="F56" authorId="0" shapeId="0" xr:uid="{6081F31C-8EDB-47B7-95FD-2516AC8C44D3}">
      <text>
        <r>
          <rPr>
            <b/>
            <sz val="9"/>
            <color indexed="81"/>
            <rFont val="Tahoma"/>
            <charset val="1"/>
          </rPr>
          <t>Admin:</t>
        </r>
        <r>
          <rPr>
            <sz val="9"/>
            <color indexed="81"/>
            <rFont val="Tahoma"/>
            <charset val="1"/>
          </rPr>
          <t xml:space="preserve">
Basic Cost = 91,35,500
GST = 4,56,775</t>
        </r>
      </text>
    </comment>
    <comment ref="F57" authorId="0" shapeId="0" xr:uid="{99022290-726B-4BBB-A3FB-3FF0FC7B708A}">
      <text>
        <r>
          <rPr>
            <b/>
            <sz val="9"/>
            <color indexed="81"/>
            <rFont val="Tahoma"/>
            <charset val="1"/>
          </rPr>
          <t>Admin:</t>
        </r>
        <r>
          <rPr>
            <sz val="9"/>
            <color indexed="81"/>
            <rFont val="Tahoma"/>
            <charset val="1"/>
          </rPr>
          <t xml:space="preserve">
Basic Cost = 82,22,500
GST = 4,11,125</t>
        </r>
      </text>
    </comment>
    <comment ref="F61" authorId="0" shapeId="0" xr:uid="{EDF4CE1D-073B-4A09-A46D-BCC37B008026}">
      <text>
        <r>
          <rPr>
            <b/>
            <sz val="9"/>
            <color indexed="81"/>
            <rFont val="Tahoma"/>
            <charset val="1"/>
          </rPr>
          <t>Admin:</t>
        </r>
        <r>
          <rPr>
            <sz val="9"/>
            <color indexed="81"/>
            <rFont val="Tahoma"/>
            <charset val="1"/>
          </rPr>
          <t xml:space="preserve">
Basic Cost = 1,03,43,500
GST = 5,17,175
Cess = 72,405
TOTAL = 1,09,33,080</t>
        </r>
      </text>
    </comment>
    <comment ref="F64" authorId="0" shapeId="0" xr:uid="{2E0D80F6-76A6-411E-BB40-9EC73DFE2737}">
      <text>
        <r>
          <rPr>
            <b/>
            <sz val="9"/>
            <color indexed="81"/>
            <rFont val="Tahoma"/>
            <charset val="1"/>
          </rPr>
          <t>Admin:</t>
        </r>
        <r>
          <rPr>
            <sz val="9"/>
            <color indexed="81"/>
            <rFont val="Tahoma"/>
            <charset val="1"/>
          </rPr>
          <t xml:space="preserve">
Basic Cost = 98,61,500
GST = 4,93,075</t>
        </r>
      </text>
    </comment>
    <comment ref="F65" authorId="0" shapeId="0" xr:uid="{014F008A-0B79-445E-B167-7948FFC18A0E}">
      <text>
        <r>
          <rPr>
            <b/>
            <sz val="9"/>
            <color indexed="81"/>
            <rFont val="Tahoma"/>
            <charset val="1"/>
          </rPr>
          <t>Admin:</t>
        </r>
        <r>
          <rPr>
            <sz val="9"/>
            <color indexed="81"/>
            <rFont val="Tahoma"/>
            <charset val="1"/>
          </rPr>
          <t xml:space="preserve">
Basic Cost = 94,38,000
GST = 4,71,900</t>
        </r>
      </text>
    </comment>
    <comment ref="F66" authorId="0" shapeId="0" xr:uid="{5485A002-978C-4FF7-9752-6C7C78A807A8}">
      <text>
        <r>
          <rPr>
            <b/>
            <sz val="9"/>
            <color indexed="81"/>
            <rFont val="Tahoma"/>
            <charset val="1"/>
          </rPr>
          <t>Admin:</t>
        </r>
        <r>
          <rPr>
            <sz val="9"/>
            <color indexed="81"/>
            <rFont val="Tahoma"/>
            <charset val="1"/>
          </rPr>
          <t xml:space="preserve">
Basic Cost = 9815000
GST = 4,90,750</t>
        </r>
      </text>
    </comment>
    <comment ref="F68" authorId="0" shapeId="0" xr:uid="{5060C0D9-A9F0-4C2E-BFB4-1DAB6D856187}">
      <text>
        <r>
          <rPr>
            <b/>
            <sz val="9"/>
            <color indexed="81"/>
            <rFont val="Tahoma"/>
            <charset val="1"/>
          </rPr>
          <t>Admin:</t>
        </r>
        <r>
          <rPr>
            <sz val="9"/>
            <color indexed="81"/>
            <rFont val="Tahoma"/>
            <charset val="1"/>
          </rPr>
          <t xml:space="preserve">
Basci Cost = 1,08,39,500
GST = 5,41,975</t>
        </r>
      </text>
    </comment>
    <comment ref="F69" authorId="0" shapeId="0" xr:uid="{FF5CADCA-78C2-49E3-AF28-2FD4D4FBFD3E}">
      <text>
        <r>
          <rPr>
            <b/>
            <sz val="9"/>
            <color indexed="81"/>
            <rFont val="Tahoma"/>
            <charset val="1"/>
          </rPr>
          <t>Admin:</t>
        </r>
        <r>
          <rPr>
            <sz val="9"/>
            <color indexed="81"/>
            <rFont val="Tahoma"/>
            <charset val="1"/>
          </rPr>
          <t xml:space="preserve">
Basic Cost = 94,38,000
GST = 4,71,900</t>
        </r>
      </text>
    </comment>
    <comment ref="F71" authorId="0" shapeId="0" xr:uid="{887A98AB-EA77-4A91-9E0D-8AC54E64E932}">
      <text>
        <r>
          <rPr>
            <b/>
            <sz val="9"/>
            <color indexed="81"/>
            <rFont val="Tahoma"/>
            <charset val="1"/>
          </rPr>
          <t>Admin:</t>
        </r>
        <r>
          <rPr>
            <sz val="9"/>
            <color indexed="81"/>
            <rFont val="Tahoma"/>
            <charset val="1"/>
          </rPr>
          <t xml:space="preserve">
Basic Cost = 83,49,000
GST = 4,17,450</t>
        </r>
      </text>
    </comment>
    <comment ref="F75" authorId="0" shapeId="0" xr:uid="{C734B949-C71C-4857-8843-59F4B7699CA4}">
      <text>
        <r>
          <rPr>
            <b/>
            <sz val="9"/>
            <color indexed="81"/>
            <rFont val="Tahoma"/>
            <charset val="1"/>
          </rPr>
          <t>Admin:</t>
        </r>
        <r>
          <rPr>
            <sz val="9"/>
            <color indexed="81"/>
            <rFont val="Tahoma"/>
            <charset val="1"/>
          </rPr>
          <t xml:space="preserve">
Basic Cost = 1,01,92,500
GST = 5,09,625</t>
        </r>
      </text>
    </comment>
  </commentList>
</comments>
</file>

<file path=xl/sharedStrings.xml><?xml version="1.0" encoding="utf-8"?>
<sst xmlns="http://schemas.openxmlformats.org/spreadsheetml/2006/main" count="4590" uniqueCount="1074">
  <si>
    <t>UDS</t>
  </si>
  <si>
    <t>Tower-1</t>
  </si>
  <si>
    <t>0201</t>
  </si>
  <si>
    <t>0202</t>
  </si>
  <si>
    <t>0203</t>
  </si>
  <si>
    <t>0204</t>
  </si>
  <si>
    <t>0205</t>
  </si>
  <si>
    <t>0301</t>
  </si>
  <si>
    <t>0302</t>
  </si>
  <si>
    <t>0303</t>
  </si>
  <si>
    <t>0304</t>
  </si>
  <si>
    <t>0305</t>
  </si>
  <si>
    <t>0401</t>
  </si>
  <si>
    <t>0402</t>
  </si>
  <si>
    <t>0403</t>
  </si>
  <si>
    <t>0404</t>
  </si>
  <si>
    <t>0405</t>
  </si>
  <si>
    <t>0601</t>
  </si>
  <si>
    <t>0602</t>
  </si>
  <si>
    <t>0603</t>
  </si>
  <si>
    <t>0604</t>
  </si>
  <si>
    <t>0605</t>
  </si>
  <si>
    <t>0701</t>
  </si>
  <si>
    <t>0702</t>
  </si>
  <si>
    <t>0703</t>
  </si>
  <si>
    <t>0704</t>
  </si>
  <si>
    <t>0705</t>
  </si>
  <si>
    <t>0801</t>
  </si>
  <si>
    <t>0802</t>
  </si>
  <si>
    <t>0803</t>
  </si>
  <si>
    <t>0804</t>
  </si>
  <si>
    <t>0805</t>
  </si>
  <si>
    <t>Tower</t>
  </si>
  <si>
    <t>Flat</t>
  </si>
  <si>
    <t>BHK</t>
  </si>
  <si>
    <t>Floor</t>
  </si>
  <si>
    <t>Second</t>
  </si>
  <si>
    <t>Third</t>
  </si>
  <si>
    <t>Fourth</t>
  </si>
  <si>
    <t>Sixth</t>
  </si>
  <si>
    <t>Seventh</t>
  </si>
  <si>
    <t>Eighth</t>
  </si>
  <si>
    <t>Eleventh</t>
  </si>
  <si>
    <t>Twelfth</t>
  </si>
  <si>
    <t>Thirteenth</t>
  </si>
  <si>
    <t>Fifteenth</t>
  </si>
  <si>
    <t>Sixteenth</t>
  </si>
  <si>
    <t>Seventeenth</t>
  </si>
  <si>
    <t>Twentieth</t>
  </si>
  <si>
    <t>Twenty First</t>
  </si>
  <si>
    <t>Twenty Second</t>
  </si>
  <si>
    <t>Twenty Third</t>
  </si>
  <si>
    <t>TOTAL</t>
  </si>
  <si>
    <t>Ownership</t>
  </si>
  <si>
    <t>Builder</t>
  </si>
  <si>
    <t>Client Name</t>
  </si>
  <si>
    <t>Self</t>
  </si>
  <si>
    <t>Loan</t>
  </si>
  <si>
    <t>FLAT NO.</t>
  </si>
  <si>
    <t>FLAT COST</t>
  </si>
  <si>
    <t>TOWER</t>
  </si>
  <si>
    <t>GST 5%</t>
  </si>
  <si>
    <t>Bal=</t>
  </si>
  <si>
    <t>FLAT AREA</t>
  </si>
  <si>
    <t>TDS 1%</t>
  </si>
  <si>
    <t>BOOKING NO.</t>
  </si>
  <si>
    <t>TOTAL COST</t>
  </si>
  <si>
    <t>PAYMENT STRUCTURE</t>
  </si>
  <si>
    <t>DESCRIPTION</t>
  </si>
  <si>
    <t>AMOUNT RECEIVED</t>
  </si>
  <si>
    <t>LOAN</t>
  </si>
  <si>
    <t>SELF FUND</t>
  </si>
  <si>
    <t>ON AGREEMENT (INCLUDING BOOKING AMOUNT) 20%</t>
  </si>
  <si>
    <t xml:space="preserve">ON COMPLETION OF FOUNDATION 20% </t>
  </si>
  <si>
    <t xml:space="preserve">ON COMPLETION OF SECOND FLOOR SLAB 20% </t>
  </si>
  <si>
    <t xml:space="preserve">ON COMPLETION OF CONCERNED FLAT ROOF SLAB 15% </t>
  </si>
  <si>
    <t>HANDOVER/REGISTRATION WHICH IS EARLIER 5%</t>
  </si>
  <si>
    <t>TOTAL LOAN &amp; SELF CONTRIBUTION</t>
  </si>
  <si>
    <t>TOTAL AMOUNT RECEIVED =</t>
  </si>
  <si>
    <t>BALANCE TO BE RECOVERED =</t>
  </si>
  <si>
    <t>Breakup</t>
  </si>
  <si>
    <t>Received</t>
  </si>
  <si>
    <t>Flat Cost</t>
  </si>
  <si>
    <t>High Rise</t>
  </si>
  <si>
    <t>Total Flat Cost</t>
  </si>
  <si>
    <t>Add: GST 5%</t>
  </si>
  <si>
    <t>Add: TDS 1%</t>
  </si>
  <si>
    <t>Net Flat Cost</t>
  </si>
  <si>
    <t>Maintenance</t>
  </si>
  <si>
    <t>Maintenance GST 18%</t>
  </si>
  <si>
    <t>Total Maintenance</t>
  </si>
  <si>
    <t>Legal Fee</t>
  </si>
  <si>
    <t>Agreement Charges</t>
  </si>
  <si>
    <t>Registration</t>
  </si>
  <si>
    <t>Total Cost of Flat</t>
  </si>
  <si>
    <t>Balance to Receive</t>
  </si>
  <si>
    <t>Total Flat Value</t>
  </si>
  <si>
    <t>Balance</t>
  </si>
  <si>
    <t>Rate/Sqft</t>
  </si>
  <si>
    <t>Pmt%</t>
  </si>
  <si>
    <t>Bal %</t>
  </si>
  <si>
    <t>Bal To Receive</t>
  </si>
  <si>
    <t>Finance From</t>
  </si>
  <si>
    <t>Loan Bal</t>
  </si>
  <si>
    <t>Self Bal</t>
  </si>
  <si>
    <t>PROJECT   NAME :  RRL PALM ALTEZZE</t>
  </si>
  <si>
    <t xml:space="preserve"> </t>
  </si>
  <si>
    <t>Booking Date</t>
  </si>
  <si>
    <t>Booking No.</t>
  </si>
  <si>
    <t>Agree Date</t>
  </si>
  <si>
    <t>RRL PAB001</t>
  </si>
  <si>
    <t>1st Applicant</t>
  </si>
  <si>
    <t>Father/Husband</t>
  </si>
  <si>
    <t>Address</t>
  </si>
  <si>
    <t>Current Addres</t>
  </si>
  <si>
    <t>Age</t>
  </si>
  <si>
    <t>Contact No.</t>
  </si>
  <si>
    <t>E-mail</t>
  </si>
  <si>
    <t>PAN</t>
  </si>
  <si>
    <t>Aadhaar</t>
  </si>
  <si>
    <t>2nd Applicant</t>
  </si>
  <si>
    <t>Remarks</t>
  </si>
  <si>
    <t>Trns Details</t>
  </si>
  <si>
    <t>Trns Date</t>
  </si>
  <si>
    <t>Bank Name</t>
  </si>
  <si>
    <t>Booking Amt</t>
  </si>
  <si>
    <t>Status</t>
  </si>
  <si>
    <t>Reg Date</t>
  </si>
  <si>
    <t>Hand Over Date</t>
  </si>
  <si>
    <t>Whatsapp</t>
  </si>
  <si>
    <t>RRL BUILDERS AND DEVELOPERS PVT LTD</t>
  </si>
  <si>
    <t>No.</t>
  </si>
  <si>
    <r>
      <t>4</t>
    </r>
    <r>
      <rPr>
        <b/>
        <vertAlign val="superscript"/>
        <sz val="12"/>
        <color rgb="FF002060"/>
        <rFont val="Cambria"/>
        <family val="1"/>
      </rPr>
      <t>th</t>
    </r>
    <r>
      <rPr>
        <b/>
        <sz val="12"/>
        <color rgb="FF002060"/>
        <rFont val="Cambria"/>
        <family val="1"/>
      </rPr>
      <t xml:space="preserve"> Floor, RRL Tower, Sompura Gate,</t>
    </r>
  </si>
  <si>
    <t>Flat No.</t>
  </si>
  <si>
    <t>www.rrlbuildersanddevelopers.com</t>
  </si>
  <si>
    <t>Date</t>
  </si>
  <si>
    <t>PURCHASER'S</t>
  </si>
  <si>
    <t>APPLICANT- 1</t>
  </si>
  <si>
    <t>Title Mr. / Mrs. / Ms. / Dr. Name</t>
  </si>
  <si>
    <t>PAN :</t>
  </si>
  <si>
    <t>Father/Husband Name</t>
  </si>
  <si>
    <t>Address:</t>
  </si>
  <si>
    <t>Mobile</t>
  </si>
  <si>
    <t>E-mail ID</t>
  </si>
  <si>
    <t>APPLICANT - 2</t>
  </si>
  <si>
    <t>FLAT DETAILS</t>
  </si>
  <si>
    <t>Following are the details of the flat preferred by me/us in Provident</t>
  </si>
  <si>
    <t>Area (Sq.ft.)</t>
  </si>
  <si>
    <t>Tower:</t>
  </si>
  <si>
    <t>Cost of Flat</t>
  </si>
  <si>
    <t>by Cheque/Draft No.</t>
  </si>
  <si>
    <t>Dated</t>
  </si>
  <si>
    <t xml:space="preserve">   Received Amount:</t>
  </si>
  <si>
    <t>TERMS &amp; CONDITIONS OF APPLICATION FOR ALLOTMENT</t>
  </si>
  <si>
    <t>Payment of instalments as per the payment schedule is the essence of this application. It shall be incum-bent on the intending purchaser (s) to comply strictly with the terms of the Payment without any delay/default and with out any demand/notice by the company for payment. In case the instalments are delayed the intending purchase(s) shall be liable to pay interest on the amount due at the rate of 18% p.a. calculated on daily basis commencing from the due date to the actual date of receiving the payment. Any instalment including interest if any is delayed beyond the due date or in case of cancellation, the matter will be taken up for review and in such case the company shall at their sole discretion be entitled to the intending purchaser.
The company shall refund the amount received, if any, after appropriating the cancellation charges of a sum for Rs. 50,000/ - plus the applicable statutory taxes/charges  plus GST on the amount paid within a period of 30 days of sending the cancellation letter. This condition is applicable till the signing of the flat to any third party at its sole discretion on such terms that it deems fit the intending purchase will be thereafter have no further right of claim for allotment/possession for the flat.
Agreement for sale and /or construction Agreement will be executed in favor of the intending purchaser after the intending purchaser complying with be requirements and accordingly this application for allotment of the flat shall not be constructed as concluded contract. These agreements need to be executed with in 20 days from the date of booking. Apart from the instalments of the total consideration payable mentioned overleaf deposits/expenses or other charges or levies including those demand /incurred or required to be paid to the KPTCL/BESCOM, BWSSB/PANCHAYAT.</t>
  </si>
  <si>
    <t>GST service Tax or other authorities and statutory charges regarding electrical power, water and sanitary connections/installations /services, shall be bome/paid by the intending purchaser on pro-rata to their share of the super built up Area. The same payable to the company immediately without delay as and when demanded, in terms of the agreement for sale and/or construction agreement to be executed as said above. The intending purchaser(s) shall strictly abide by the terms and conditions mentioned above and also, the terms and conditions contained in the sale and constructions agreement to be executed subsequently, governing the purchase of the undivided share of the land the subject flat in the said project.</t>
  </si>
  <si>
    <t>Declaration by the Applicant/s:</t>
  </si>
  <si>
    <r>
      <t>I</t>
    </r>
    <r>
      <rPr>
        <b/>
        <sz val="12"/>
        <color rgb="FF002060"/>
        <rFont val="Cambria"/>
        <family val="1"/>
      </rPr>
      <t>/</t>
    </r>
    <r>
      <rPr>
        <sz val="12"/>
        <color rgb="FF002060"/>
        <rFont val="Cambria"/>
        <family val="1"/>
      </rPr>
      <t>We have read the above terms and conditions of this application for allotment and have fully Understood the contents thereof, have obtained legal advice on the same and I/we understand that the compliance by me/us of the above terms and materials for the purposes of the consideration by the company for allotment of an flat in my/our favour.</t>
    </r>
  </si>
  <si>
    <t>NOTE:</t>
  </si>
  <si>
    <t>Client will bear the Flat Cost and all the government charges.</t>
  </si>
  <si>
    <t>Details of charges will be mentioned in the cost breakup.</t>
  </si>
  <si>
    <t>RRL BUILDERS AND DEVELOPERS PRIVATE LIMITED</t>
  </si>
  <si>
    <t>4th Floor, RRL Tower, Sompura Gate,</t>
  </si>
  <si>
    <t>Sarjapura Road, Anekal Taluk, Bengaluru - 562125</t>
  </si>
  <si>
    <t>Received with thanks from</t>
  </si>
  <si>
    <t>by Cheque/ Draft No.</t>
  </si>
  <si>
    <t>Cheque/s are subject to realisation</t>
  </si>
  <si>
    <t>RRL PALM ALTEZZE</t>
  </si>
  <si>
    <t>Receipt No.</t>
  </si>
  <si>
    <t>Amount</t>
  </si>
  <si>
    <t>RRL PALM ALTEZZE - BOOKING FORM</t>
  </si>
  <si>
    <t>JAYANTHI S</t>
  </si>
  <si>
    <t>NA</t>
  </si>
  <si>
    <t>W/O SELVARAJ</t>
  </si>
  <si>
    <t>VILLA NO.66, PHASE 3, GOLDEN HOME, LIBERTY ACRES, ATTIBELE, BENGALURU, KARNATAKA-562107</t>
  </si>
  <si>
    <t>98438 60700</t>
  </si>
  <si>
    <t>5760 0856 0770</t>
  </si>
  <si>
    <t>2 BHK</t>
  </si>
  <si>
    <t>3 BHK</t>
  </si>
  <si>
    <t>Carpet Area in Sq.ft.</t>
  </si>
  <si>
    <t>S.B.A. in Sq. Mts.</t>
  </si>
  <si>
    <t>S.B.A. in Sq.ft.</t>
  </si>
  <si>
    <t>NIL</t>
  </si>
  <si>
    <t>RUPEES</t>
  </si>
  <si>
    <t>ON COMPLETION OF FLOORING 15%</t>
  </si>
  <si>
    <t>ON COMPLETION OF TOP FLOOR ROOF SLAB 5%</t>
  </si>
  <si>
    <r>
      <t xml:space="preserve">For </t>
    </r>
    <r>
      <rPr>
        <sz val="14"/>
        <rFont val="Cambria"/>
        <family val="1"/>
      </rPr>
      <t>Palm Altezze-Flat No.</t>
    </r>
  </si>
  <si>
    <r>
      <t xml:space="preserve">A sum of </t>
    </r>
    <r>
      <rPr>
        <sz val="14"/>
        <rFont val="Cambria"/>
        <family val="1"/>
      </rPr>
      <t>Rupees</t>
    </r>
  </si>
  <si>
    <t>Cheque No.457181, Dated:13-11-2025</t>
  </si>
  <si>
    <t>IDBI Bank, Sarjapura Branch</t>
  </si>
  <si>
    <t>Total No. of Sold Flats=</t>
  </si>
  <si>
    <t>Agreement Done</t>
  </si>
  <si>
    <t>Loan Released</t>
  </si>
  <si>
    <t>Agreement Not Done</t>
  </si>
  <si>
    <t>Booked</t>
  </si>
  <si>
    <t>Loan Sanctioned</t>
  </si>
  <si>
    <t>Demand Raised</t>
  </si>
  <si>
    <t>Self Fund</t>
  </si>
  <si>
    <t>Full Amt Received</t>
  </si>
  <si>
    <t>Registration Done</t>
  </si>
  <si>
    <t>PAR-001</t>
  </si>
  <si>
    <t>PAR-002</t>
  </si>
  <si>
    <t>RRL PAB002</t>
  </si>
  <si>
    <t>MANJULA S G</t>
  </si>
  <si>
    <t>1603</t>
  </si>
  <si>
    <t>KONGARA RAMARAO</t>
  </si>
  <si>
    <t>9224 0590 4166</t>
  </si>
  <si>
    <t>S/O VENKATESWARLU</t>
  </si>
  <si>
    <t>6-472, ADIGOPPULA, GUNTUR ANDHRA PRADESH-522612</t>
  </si>
  <si>
    <t>BFCPK5590R</t>
  </si>
  <si>
    <t>77690 55383</t>
  </si>
  <si>
    <t>kongara.ramarao@gmail.com</t>
  </si>
  <si>
    <t>05 JAN 2026-CHEQUE NO.249385, DATED:05-01-2026 AXIS BANK-RANGA COMPLEX M G ROAD</t>
  </si>
  <si>
    <t>CHEQUE NO.249385, DATED:05-01-2026</t>
  </si>
  <si>
    <t>AXIS BANK, RANGA COMPLEX M G ROAD BRANCH</t>
  </si>
  <si>
    <t>RRL PAB003</t>
  </si>
  <si>
    <t>CHEQUE NO.000007, DATED:01-01-2026 EQUITAS BANK</t>
  </si>
  <si>
    <t>13 Nov 2025-CHEQUE NO.457181, DATED:13-11-2025 IDBI-Sarjapura</t>
  </si>
  <si>
    <t>CHEQUE NO.457181, DATED:13-11-2025 IDBI</t>
  </si>
  <si>
    <t>CHEQUE NO.249385, DATED:05-01-2026 AXIS BANK</t>
  </si>
  <si>
    <t>PAR-003</t>
  </si>
  <si>
    <t>PAR-004</t>
  </si>
  <si>
    <t>08 Jan 2026-IMPS 000213160024</t>
  </si>
  <si>
    <t>08 Jan 2026-IMPS 600825433255 SBI BANK-Br.MARTHAHALLI</t>
  </si>
  <si>
    <t>08 Jan 2026-IMPS 000214983150</t>
  </si>
  <si>
    <t>13 Jan 2026-CHEQUE NO.512548, DATED:12-01-2026 AXIS BANK-</t>
  </si>
  <si>
    <t>13 JAN 2026-CHEQUE NO.512547, DATED:12-01-2026 AXIS BANK-</t>
  </si>
  <si>
    <t>S/O PITCHAIAH BOLLA</t>
  </si>
  <si>
    <t># FLAT NO.306, SMK WHITESTONE, ASHRAYA, BALAJI LAYOUT, GOLAHALLI ROAD, ECITY PHASE-1, BANGALORE-560100</t>
  </si>
  <si>
    <t>90327 68363</t>
  </si>
  <si>
    <t>bbr.td85@gmail.com</t>
  </si>
  <si>
    <t>ASOPB5974A</t>
  </si>
  <si>
    <t>4212 7607 5823</t>
  </si>
  <si>
    <t>BUCHA RAO BOLLA</t>
  </si>
  <si>
    <t>ALURU RANGANAYAKULU</t>
  </si>
  <si>
    <t>ranga.aluru@gmail.com</t>
  </si>
  <si>
    <t>S/O ALURU ANJANEYULU</t>
  </si>
  <si>
    <t>19-3-281, BHAVANI NAGAR, OLD TOWN, ANANTAPUR, ANDHRA PRADESH-515001</t>
  </si>
  <si>
    <t>112, SUBHA NANTANA APARTMENT, BALAJI LAYOUT, GOLLAHALLI, ELECTRONIC CITY PHASE-1, BANGALORE-560100</t>
  </si>
  <si>
    <t>2075 1024 3449</t>
  </si>
  <si>
    <t>ASYPR7827E</t>
  </si>
  <si>
    <t>97415 26742</t>
  </si>
  <si>
    <t>CHEQUE NO.000024, DATED:13-01-2026 HDFC BANK</t>
  </si>
  <si>
    <t>PAR-005</t>
  </si>
  <si>
    <t>1601</t>
  </si>
  <si>
    <t>2004</t>
  </si>
  <si>
    <t>13 JAN 2026-IMPS 638467020342 SBI BANK-THADIKONDA</t>
  </si>
  <si>
    <t>UMA MAHESWARARAO</t>
  </si>
  <si>
    <t>13 JAN 2026-IMPS 794239458099 UNION BANK-TADIKONDA</t>
  </si>
  <si>
    <t>13 JAN 2026-IMPS 761300091406 BOB BANK-TADIKONDA</t>
  </si>
  <si>
    <t>RRL PAB004</t>
  </si>
  <si>
    <t>RRL PAB005</t>
  </si>
  <si>
    <t>RRL PAB006</t>
  </si>
  <si>
    <t>RRL PAB007</t>
  </si>
  <si>
    <t>RRL PAB008</t>
  </si>
  <si>
    <t>RRL PAB009</t>
  </si>
  <si>
    <t>RRL PAB010</t>
  </si>
  <si>
    <t>CHEQUE NO.249385, DATED:12-01-2026</t>
  </si>
  <si>
    <t>AXIS BANK</t>
  </si>
  <si>
    <t>CHEQUE NO.000024, DATED:13-01-2026</t>
  </si>
  <si>
    <t>HDFC BANK</t>
  </si>
  <si>
    <t>IMPS 638467020342</t>
  </si>
  <si>
    <t>SBI BANK, THADIKONDA BRANCH</t>
  </si>
  <si>
    <t>IMPS 794239458099 &amp; IMPS 761300091406</t>
  </si>
  <si>
    <t>UNION BANK, TADIKONDA BRANCH &amp; BOB BANK, TADIKONDA BRANCH</t>
  </si>
  <si>
    <t>CHEQUE NO.512548, DATED:12-01-2026</t>
  </si>
  <si>
    <t>DEEPAK N S AND BINDIYA B S</t>
  </si>
  <si>
    <t>RRL PAB011</t>
  </si>
  <si>
    <t>DEEPAK N S</t>
  </si>
  <si>
    <t>S/O SOMASHEKARAIAH T N</t>
  </si>
  <si>
    <t>SRI SRI ENCLAVE, FLAT NO.504, MARUTHI NAGAR,10TH MAIN 11TH CROSS, MALLESHPALYA, BENGALURU-560075</t>
  </si>
  <si>
    <t>ERXPD9506A</t>
  </si>
  <si>
    <t>94821 24322, 94499 27881</t>
  </si>
  <si>
    <t>KONDURU MURALI KRISHNAMARAJU</t>
  </si>
  <si>
    <t>BINDIYA B S</t>
  </si>
  <si>
    <t>96638 42955</t>
  </si>
  <si>
    <t>14 JAN 2026-CHEQUE NO.000001, DATED:14-01-2026 HDFC BANK-KAGGADASPURA</t>
  </si>
  <si>
    <t>14 JAN 2026-CHEQUE NO.042820, DATED:14-01-2026 ICICI BANK-ELECTRONIC CITY</t>
  </si>
  <si>
    <t>13 JAN 2026-CHEQUE NO.249386, DATED:12-01-2026 AXIS BANK-</t>
  </si>
  <si>
    <t>ACHAL KAPOOR AND KAVERI TANDON</t>
  </si>
  <si>
    <t>achalkapoor@live.com</t>
  </si>
  <si>
    <t>murali.konduruu@gamil.com</t>
  </si>
  <si>
    <t>GUNTUPALLI NAVEEN KUMAR</t>
  </si>
  <si>
    <t>Refunded-CHEQUE NO.000003, Dated:14-01-2026 HDFC 8389</t>
  </si>
  <si>
    <t>13 JAN 2026-IMPS 328766231315 AXIS BANK-SRINAGAR COLONY</t>
  </si>
  <si>
    <t>SHANKAR ANNAMALAI</t>
  </si>
  <si>
    <t>15 JAN 2026-NEFT HSBCN01510445232 HSBC BANK-MAIN BRANCH, CHENNAI</t>
  </si>
  <si>
    <t>OM PRAKASH TIWARI</t>
  </si>
  <si>
    <t>15 JAN 2026-IMPS 909814091047 SBI BANK-SIPARA</t>
  </si>
  <si>
    <t>RITIKA SARKHEL AND SHUBHENDU BHATTACHARYA</t>
  </si>
  <si>
    <t>15 JAN 2026-IMPS 638151299526 PNB BANK-JABALPUR</t>
  </si>
  <si>
    <t>15 JAN 2026-NEFT IN12601519102908 ICICI BANK-CMS</t>
  </si>
  <si>
    <t>RANGANAYAKULU ALURU</t>
  </si>
  <si>
    <t>16 JAN 2026-IMPS 601640670678 SBI BANK-JABALPUR</t>
  </si>
  <si>
    <t>RITIKA SARKHEL</t>
  </si>
  <si>
    <t>ritikasarkhel@gmail.com</t>
  </si>
  <si>
    <t>shubho.bhatta123@gmail.com</t>
  </si>
  <si>
    <t>SHUBHENDU BHATTACHARYA</t>
  </si>
  <si>
    <t>RRL PAB012</t>
  </si>
  <si>
    <t>RRL PAB013</t>
  </si>
  <si>
    <t>RRL PAB014</t>
  </si>
  <si>
    <t>RRL PAB015</t>
  </si>
  <si>
    <t>RRL PAB017</t>
  </si>
  <si>
    <t>RRL PAB018</t>
  </si>
  <si>
    <t>ADITYA RAJ</t>
  </si>
  <si>
    <t>RRL PAB016</t>
  </si>
  <si>
    <t>15 JAN 2026-IMPS 117234534325 HDFC BANK-DINAPUR</t>
  </si>
  <si>
    <t>14 JAN 2026-IMPS 601482129679 HSBC BANK-MAIN BRANCH, CHENNAI Rs.1</t>
  </si>
  <si>
    <t>15 JAN 2026-IMPS 117238405221 HDFC BANK-JABALPUR Rs.1</t>
  </si>
  <si>
    <t>15 JAN 2026-IMPS 436075203907 SBI BANK-SIPARA Rs.1</t>
  </si>
  <si>
    <t>15 JAN 2026-IMPS 117233818947 HDFC BANK-DINAPUR Rs.1</t>
  </si>
  <si>
    <t>73488 64989, 90352 50110</t>
  </si>
  <si>
    <t>99100 92203</t>
  </si>
  <si>
    <t>17 JAN 2026-IMPS 226293981804 AXIS BANK-SRINAGAR COLONY</t>
  </si>
  <si>
    <t>Booking confirmation mail sent on 17-01-2026</t>
  </si>
  <si>
    <t>Booking confirmation mail sent on 16-01-2026</t>
  </si>
  <si>
    <t>Booking confirmation mail sent on 15-01-2026</t>
  </si>
  <si>
    <t>Bindya Aadhar Pan needed</t>
  </si>
  <si>
    <t>Booking confirmation mail sent on 01-01-2026</t>
  </si>
  <si>
    <t>SUSHRUT MATHUR</t>
  </si>
  <si>
    <t>99297 58909</t>
  </si>
  <si>
    <t>sushrutmathur@gmail.com</t>
  </si>
  <si>
    <t>HDFC BANK, AJMER ROAD BRANCH</t>
  </si>
  <si>
    <t xml:space="preserve">IMPS 117336178527 &amp; </t>
  </si>
  <si>
    <t>RRL PAB019</t>
  </si>
  <si>
    <t>19 JAN 2026-NEFT IN12601919468377 ICICI BANK-CMS</t>
  </si>
  <si>
    <t>AMRITHA MISHRA AND RAVI SHANKAR</t>
  </si>
  <si>
    <t>KAVITA KUMAWAT AND MUKESH KUMAWAT</t>
  </si>
  <si>
    <t>KONDURU VENKATA BALAKRISHNAM RAJU</t>
  </si>
  <si>
    <t>94487 37523</t>
  </si>
  <si>
    <t>88923 19574</t>
  </si>
  <si>
    <t>tiwari279@gmail.com</t>
  </si>
  <si>
    <t>97877 87760</t>
  </si>
  <si>
    <t>shankar.annamalai090@gmail.com</t>
  </si>
  <si>
    <t>EENPS4132A</t>
  </si>
  <si>
    <t>S/O ANNAMALAI PALANISAMY</t>
  </si>
  <si>
    <t>3/285 LAKSHIMIPURAM COLONY, KUPPUSAMI NAIDU PURAM, PALLADAM, SEMMIPALAYAM, TIRUPPUR, TAMIL NADU - 641662</t>
  </si>
  <si>
    <t>9298 4907 7665</t>
  </si>
  <si>
    <t>NEFT HSBCN01510445232</t>
  </si>
  <si>
    <t>HSBC BANK, MAIN BRANCH, CHENNAI</t>
  </si>
  <si>
    <t>PNB BANK, JABALPUR BRANCH</t>
  </si>
  <si>
    <t>IMPS 638151299526</t>
  </si>
  <si>
    <t>RAVI SHANKAR</t>
  </si>
  <si>
    <t>81055 08875</t>
  </si>
  <si>
    <t>ravis138@rediffmail.com</t>
  </si>
  <si>
    <t>BGOPS9294P</t>
  </si>
  <si>
    <t>2212 4166 7314</t>
  </si>
  <si>
    <t>CHEQUE NO.512547, DATED:12-01-2026</t>
  </si>
  <si>
    <t>KAVITA KUMAWAT</t>
  </si>
  <si>
    <t>MUKESH KUMAWAT</t>
  </si>
  <si>
    <t>prajapat_m22@yahoo.co.in</t>
  </si>
  <si>
    <t>ACHAL KAPOOR</t>
  </si>
  <si>
    <t>KAVERI TANDON</t>
  </si>
  <si>
    <t>S/O LAKSHMI KUMAR KAPOOR</t>
  </si>
  <si>
    <t>3967 3127 5836</t>
  </si>
  <si>
    <t>AVAPK2220P</t>
  </si>
  <si>
    <t>17 JAN 2026-IMPS 117335752835 HDFC-AJMER ROAD Rs.1</t>
  </si>
  <si>
    <t>01 Jan 2026-CHEQUE NO.000007, DATED:01-01-2026 EQUITAS BANK-WHITEFIELD</t>
  </si>
  <si>
    <t>IMPS 638467020342 SBI BANK</t>
  </si>
  <si>
    <t>1704</t>
  </si>
  <si>
    <t>PAR-006</t>
  </si>
  <si>
    <t>PAR-007</t>
  </si>
  <si>
    <t>IMPS 761300091406 BOB BANK</t>
  </si>
  <si>
    <t>2001</t>
  </si>
  <si>
    <t>KARANAM UMA MAHESWAR</t>
  </si>
  <si>
    <t>PAR-008</t>
  </si>
  <si>
    <t>IMPS 328766231315 AXIS BANK</t>
  </si>
  <si>
    <t>IMPS 707797329687 AXIS BANK</t>
  </si>
  <si>
    <t>PAR-009</t>
  </si>
  <si>
    <t>2104</t>
  </si>
  <si>
    <t>PAR-010</t>
  </si>
  <si>
    <t>15 JAN 2026-IMPS 707797329687 AXIS BANK-SRINAGAR COLONY</t>
  </si>
  <si>
    <t>CHEQUE NO.512547, DATED:12-01-2026 AXIS BANK</t>
  </si>
  <si>
    <t>PAR-011</t>
  </si>
  <si>
    <t>1201</t>
  </si>
  <si>
    <t>CHEQUE NO.249386, DATED:12-01-2026 AXIS BANK</t>
  </si>
  <si>
    <t>1501</t>
  </si>
  <si>
    <t>PAR-012</t>
  </si>
  <si>
    <t>CHEQUE NO.512548, DATED:12-01-2026 AXIS BANK</t>
  </si>
  <si>
    <t>2003</t>
  </si>
  <si>
    <t>604</t>
  </si>
  <si>
    <t>PAR-013</t>
  </si>
  <si>
    <t>NEFT HSBCN01510445232 HSBC BANK</t>
  </si>
  <si>
    <t>PAR-014</t>
  </si>
  <si>
    <t>IMPS 601511172310 ICICI BANK</t>
  </si>
  <si>
    <t>1505</t>
  </si>
  <si>
    <t>PAR-015</t>
  </si>
  <si>
    <t>PAR-016</t>
  </si>
  <si>
    <t>IMPS 117234534325 HDFC BANK</t>
  </si>
  <si>
    <t>1101</t>
  </si>
  <si>
    <t>2201</t>
  </si>
  <si>
    <t>PAR-017</t>
  </si>
  <si>
    <t>PAR-018</t>
  </si>
  <si>
    <t>702</t>
  </si>
  <si>
    <t>PAR-019</t>
  </si>
  <si>
    <t>1203</t>
  </si>
  <si>
    <t>NEFT IN12601519102908 ICICI BANK</t>
  </si>
  <si>
    <t>PAR-020</t>
  </si>
  <si>
    <t>NEFT IN12601919468377 ICICI BANK</t>
  </si>
  <si>
    <t>PAR-021</t>
  </si>
  <si>
    <t>PAR-022</t>
  </si>
  <si>
    <t>CHEQUE NO.000001, DATED:14-01-2026 HDFC BANK</t>
  </si>
  <si>
    <t>1605</t>
  </si>
  <si>
    <t>PAR-023</t>
  </si>
  <si>
    <t>IMPS 226293981804 AXIS BANK</t>
  </si>
  <si>
    <t>PAR-024</t>
  </si>
  <si>
    <t>1503</t>
  </si>
  <si>
    <t>CHEQUE NO.042820, DATED:14-01-2026 ICICI BANK</t>
  </si>
  <si>
    <t>PAR-025</t>
  </si>
  <si>
    <t>17 JAN 2026-IMPS 117336178527 HDFC BANK-AJMER ROAD</t>
  </si>
  <si>
    <t>19 JAN 2026-IMPS 117419712915 HDFC BANK-AJMER ROAD</t>
  </si>
  <si>
    <t>IMPS 117336178527 HDFC BANK</t>
  </si>
  <si>
    <t>PAR-026</t>
  </si>
  <si>
    <t>1701</t>
  </si>
  <si>
    <t>19 JAN 2026-IMPS 914176997961 AXIS BANK-BANGALORE</t>
  </si>
  <si>
    <t>19 JAN 2026-IMPS 412114663017 AXIS BANK-BANGALORE RS.1</t>
  </si>
  <si>
    <t>19 JAN 2026-IMPS 601913617601 AXIS BANK-BANGALORE</t>
  </si>
  <si>
    <t>IMPS 914176997961 AXIS BANK</t>
  </si>
  <si>
    <t>PAR-027</t>
  </si>
  <si>
    <t>IMPS 601913617601 AXIS BANK</t>
  </si>
  <si>
    <t>802</t>
  </si>
  <si>
    <t>1502</t>
  </si>
  <si>
    <t>PAR-028</t>
  </si>
  <si>
    <t>IMPS 117419712915 HDFC BANK</t>
  </si>
  <si>
    <t>PAR-029</t>
  </si>
  <si>
    <t>20 JAN 2026-IMPS 117483066061 HDFC BANK-AJMER ROAD</t>
  </si>
  <si>
    <t>IMPS 117483066061 HDFC BANK</t>
  </si>
  <si>
    <t>PAR-030</t>
  </si>
  <si>
    <t>C/O ACHAL KAPOOR</t>
  </si>
  <si>
    <t>203, BASANT VIHAR, KASUMPTI, SHIMLA URBAN, SHIMLA, HIMACHAL PRADESH-171009</t>
  </si>
  <si>
    <t>99992 74203</t>
  </si>
  <si>
    <t>AUAPT8388C</t>
  </si>
  <si>
    <t>2916 0771 5477</t>
  </si>
  <si>
    <t>abhishekroy331@gmail.com</t>
  </si>
  <si>
    <t>94383 68667</t>
  </si>
  <si>
    <t>23 JAN 2026-IMPS 602315862528 SBI BANK-TULASIPUR RS.1</t>
  </si>
  <si>
    <t>23 JAN 2026-IMPS 602316262613 SBI BANK-TULASIPUR</t>
  </si>
  <si>
    <t>IMPS 602316262613 SBI BANK</t>
  </si>
  <si>
    <t>PAR-031</t>
  </si>
  <si>
    <t>1703</t>
  </si>
  <si>
    <t>24 JAN 2026-IMPS 305142650146 SBI BANK-SIPARA</t>
  </si>
  <si>
    <t>15 JAN 2026-IMPS 601511172310 ICICI BANK-KASUMPTI</t>
  </si>
  <si>
    <t>24 JAN 2026-RTGS ICICR12026012408674350 ICICI BANK-KASUMPTI</t>
  </si>
  <si>
    <t>25 JAN 2026-IMPS 602509605434 SBI BANK-AIR CRAFT FACTORY</t>
  </si>
  <si>
    <t>21 JAN 2026-CHEQUE NO.827495, DATED:19-01-2026 SBI BANK-AIR CRAFT FACTORY (Ch returned due to Positive pay not submitted by the client Rs.1 lakh</t>
  </si>
  <si>
    <t>16 JAN 2026-CHEQUE NO.000079, DATED:15-01-2026 HDFC BANK-AIRPORT ROAD (Ch returned due to insufficient balance in clients account. Ch is in the office Rs.150000</t>
  </si>
  <si>
    <t>IMPS 909814091047 SBI BANK</t>
  </si>
  <si>
    <t>IMPS 638151299526 PNB BANK</t>
  </si>
  <si>
    <t>IMPS 601640670678 SBI BANK</t>
  </si>
  <si>
    <t>Duplicate</t>
  </si>
  <si>
    <t>IMPS 305142650146 SBI BANK</t>
  </si>
  <si>
    <t>PAR-032</t>
  </si>
  <si>
    <t>RTGS ICICR12026012408674350 ICICI BANK</t>
  </si>
  <si>
    <t>PAR-033</t>
  </si>
  <si>
    <t>IMPS 602509605434 SBI BANK</t>
  </si>
  <si>
    <t>25 JAN 2026-NEFT SBIN126025531159 SBI BANK-HELICOPTER FACTORY</t>
  </si>
  <si>
    <t>NEFT SBIN126025531159 SBI BANK</t>
  </si>
  <si>
    <t>PAR-034</t>
  </si>
  <si>
    <t>PAR-035</t>
  </si>
  <si>
    <t>RRL PAB020</t>
  </si>
  <si>
    <t>RRL PAB021</t>
  </si>
  <si>
    <t>RRL PAB022</t>
  </si>
  <si>
    <t>RRL PAB023</t>
  </si>
  <si>
    <t>KRISHAN</t>
  </si>
  <si>
    <t>99160 84787</t>
  </si>
  <si>
    <t>25 JAN 2026-IMPS 642632740482 SBI BANK-DOMLUR</t>
  </si>
  <si>
    <t>deenagsom@gmail.com</t>
  </si>
  <si>
    <t>26 JAN 2026-IMPS 536693864018 SBI BANK-DOMLUR</t>
  </si>
  <si>
    <t>MOHAN BABU REDDIMASI</t>
  </si>
  <si>
    <t>26 JAN 2026-IMPS 117721279154 HDFC BANK-GACHIBOWLI</t>
  </si>
  <si>
    <t>26 JAN 2026-IMPS 602695585253 HDFC BANK-GACHIBOWLI</t>
  </si>
  <si>
    <t>SHUBHRASMITA NAYAK &amp; JOYDEEP NAYAK</t>
  </si>
  <si>
    <t>SHUBHRASMITA NAYAK</t>
  </si>
  <si>
    <t>JOYDEEP NAYAK</t>
  </si>
  <si>
    <t>74834 93059</t>
  </si>
  <si>
    <t>nayak.joydeep@gmail.com</t>
  </si>
  <si>
    <t>26 JAN 2026-NEFT 0811OP6168199814 DBS BANK-MUMBAI Rs.1</t>
  </si>
  <si>
    <t>93846 32298</t>
  </si>
  <si>
    <t xml:space="preserve">99010 77897 </t>
  </si>
  <si>
    <t>26 JAN 2026-NEFT 0811OP6168200243 DBS BANK-MUMBAI</t>
  </si>
  <si>
    <t>mohan.reddimasi@gmail.com</t>
  </si>
  <si>
    <t>RRL PAB024</t>
  </si>
  <si>
    <t>RRL PAB025</t>
  </si>
  <si>
    <t>RRL PAB026</t>
  </si>
  <si>
    <t>EXCLUDING GOVERNMENT CHARGES, MAINTENANCE</t>
  </si>
  <si>
    <t>AMRITA MISHRA AND RAVI SHANKAR</t>
  </si>
  <si>
    <t>AMRITA MISHRA</t>
  </si>
  <si>
    <t>IMPS 642632740482 SBI BANK</t>
  </si>
  <si>
    <t>PAR-036</t>
  </si>
  <si>
    <t>IMPS 536693864018 SBI BANK</t>
  </si>
  <si>
    <t>PAR-037</t>
  </si>
  <si>
    <t>2103</t>
  </si>
  <si>
    <t>IMPS 117721279154 HDFC BANK</t>
  </si>
  <si>
    <t>PAR-038</t>
  </si>
  <si>
    <t>IMPS 602695585253 HDFC BANK</t>
  </si>
  <si>
    <t>PAR-039</t>
  </si>
  <si>
    <t>705</t>
  </si>
  <si>
    <t>NEFT 0811OP6168200243 DBS BANK</t>
  </si>
  <si>
    <t>PAR-040</t>
  </si>
  <si>
    <t>2005</t>
  </si>
  <si>
    <t>28 JAN 2026-IMPS 399721042679 SBI BANK-SIPARA</t>
  </si>
  <si>
    <t>Will refund-cheque no.</t>
  </si>
  <si>
    <t>ganji.krishna80@gmail.com</t>
  </si>
  <si>
    <t>HDFC</t>
  </si>
  <si>
    <t>26 JAN 2026-CHEQUE NO.827498, DATED:26-01-2026 SBI BANK-AIR CRAFT FACTORY Rs.1,75,000 (Cheque returned due to not informing the banker about the issuing of the cheque)</t>
  </si>
  <si>
    <t>26 JAN 2026-CHEQUE NO.827497, DATED:25-01-2026 SBI BANK-AIR CRAFT FACTORY Rs.2,00,000 (Cheque returned due to not informing the banker about the issuing of the cheque)</t>
  </si>
  <si>
    <t>31 JAN 2026-REFUNDED CHEQUE NO.004076, DATED:31-01-2026 AXIS 4149</t>
  </si>
  <si>
    <t>ragha409@gmail.com</t>
  </si>
  <si>
    <t>naveenguntupalli@gmail.com</t>
  </si>
  <si>
    <t>C/O TAPAN KUMAR SARKHEL</t>
  </si>
  <si>
    <t>FLAT NO.308, GREEN VIEW APARTMENT, WING A1, NEAR RELIANCE FRESH SOUTH CIVIL LINES, BEHIND RELIANCE FRESH SOUTH CIVIL LINES, JABALPUR, MADHYA PRADESH-482001</t>
  </si>
  <si>
    <t>7899 9019 3081</t>
  </si>
  <si>
    <t>FZHPS0555R</t>
  </si>
  <si>
    <t>HO. NO.126, DR. RANJAN JADAV PATH PACHHIM VIHAR COLONY, GYAN NIKETAN SCHOOL, DANAPUR, PATNA, BIHAR-801503</t>
  </si>
  <si>
    <t>8262 3811 1825</t>
  </si>
  <si>
    <t>BDSPB7030F</t>
  </si>
  <si>
    <t>S/O SHANKAR KUMAR BHATTACHARYA</t>
  </si>
  <si>
    <t>4008 7413 3596</t>
  </si>
  <si>
    <t>S/O RAM AWADH TIWARI</t>
  </si>
  <si>
    <t>GAYA LINE ROAD, SIPARA DIH, LOHIA NAGAR, SAMPATCHAK, PATNA, BIHAR-800020</t>
  </si>
  <si>
    <t>W/O MUKESH KUMAWAT</t>
  </si>
  <si>
    <t>#302 E L V SIGNATURE, SPRING DALE LAYOUT, VIJAYANAGARA, BANGALORE NORTH, BENGALURU, KARNATAKA-560066</t>
  </si>
  <si>
    <t>3932 9095 7009</t>
  </si>
  <si>
    <t>PVTPK3745P</t>
  </si>
  <si>
    <t>S/O GINDARAM KUMAWAT</t>
  </si>
  <si>
    <t>7057 8660 7872</t>
  </si>
  <si>
    <t>AWJPK9630P</t>
  </si>
  <si>
    <t>5196 6015 6941</t>
  </si>
  <si>
    <t>AUWPR7672R</t>
  </si>
  <si>
    <t>S/O MANYAM KONDA</t>
  </si>
  <si>
    <t>2166 20276 6452</t>
  </si>
  <si>
    <t>BCLPK0048N</t>
  </si>
  <si>
    <t>S/O GUNTUPALLI SAMBASIVA RAO</t>
  </si>
  <si>
    <t>HOUSE NO.1-96, TADIKONDA, BANDARUPALLI VILLAGE, GUNTUR, ANDHRA PRADESH-522018</t>
  </si>
  <si>
    <t>8215 5603 4769</t>
  </si>
  <si>
    <t>MUTYALA JAGADEESH KALYAN SAIKUMAR</t>
  </si>
  <si>
    <t>9119 4723 3877</t>
  </si>
  <si>
    <t>C/O MUTYALA UMA MAHESH KUMAR</t>
  </si>
  <si>
    <t>16-7-71/10, BETHINA VENKATARAJU COLONY, REVENUE WARD NO.16, SAI ABHILASHA NAGAR, SAMARLAKOTA, KAKINADA, ANDHRA PRADESH-533440</t>
  </si>
  <si>
    <t>BUVPM8498N</t>
  </si>
  <si>
    <t>99513 33990</t>
  </si>
  <si>
    <t>jksk.mutyala@gmail.com</t>
  </si>
  <si>
    <t>04 JAN 2026-RTGS ICICR12026020408868271 ICICI BANK-KASUMPTI</t>
  </si>
  <si>
    <t>TANUKU MAHESH BABU</t>
  </si>
  <si>
    <t>PREM PRASOON &amp; AISHWARYA</t>
  </si>
  <si>
    <t>CHEQUE NO.000041, DATED:01-02-2026 HDFC BANK</t>
  </si>
  <si>
    <t>02 FEB 2026-CHEQUE NO.000041, DATED:01-02-2026 HDFC BANK-RICHMOND ROAD</t>
  </si>
  <si>
    <t>PAR-041</t>
  </si>
  <si>
    <t>1301</t>
  </si>
  <si>
    <t>CHEQUE NO.000061, DATED:01-02-2026 CANARA BANK</t>
  </si>
  <si>
    <t xml:space="preserve">RAM PRATAP YADAV </t>
  </si>
  <si>
    <t>KRISHAN GANJI</t>
  </si>
  <si>
    <t>25 JAN 2026-IMPS 285897287841 SBI BANK-SIPARA</t>
  </si>
  <si>
    <t>NAGAMALLA HARISH</t>
  </si>
  <si>
    <t>harish.nag0077@gmail.com</t>
  </si>
  <si>
    <t>90005 55616</t>
  </si>
  <si>
    <t>IMPS 250584082980 SBI BANK</t>
  </si>
  <si>
    <t>2205</t>
  </si>
  <si>
    <t>PAR-042</t>
  </si>
  <si>
    <t>PAR-043</t>
  </si>
  <si>
    <t>SRIDHARAN RATHINAM</t>
  </si>
  <si>
    <t>97888 74080</t>
  </si>
  <si>
    <t>sridharan20077@gmail.com</t>
  </si>
  <si>
    <t>05 FEB 2026-IMPS 000518794103 HDFC BANK-</t>
  </si>
  <si>
    <t>05 FEB 2026-IMPS 000519708764 HDFC BANK-</t>
  </si>
  <si>
    <t>PAR-044</t>
  </si>
  <si>
    <t>IMPS 000518794103 HDFC BANK</t>
  </si>
  <si>
    <t>PAR-045</t>
  </si>
  <si>
    <t>IMPS 000519708764 HDFC BANK</t>
  </si>
  <si>
    <t>701</t>
  </si>
  <si>
    <t>26 JAN 2026-IMPS 181091196212 SBI BANK-DOMLUR</t>
  </si>
  <si>
    <t>31 JAN 2026-IMPS 499729010787 AXIS BANK-BANGALORE</t>
  </si>
  <si>
    <t>03 FEB 2026-CHEQUE NO.000061, DATED:01-02-2026 HDFC BANK-NANAKRAMGUDA</t>
  </si>
  <si>
    <t>02 FEB 2026-CHEQUE NO.447481, DATED:01-02-2026 CANARA BANK-SAMARLAKOTA (CHEQUE RETURNED RS.2L)</t>
  </si>
  <si>
    <t>02 FEB 2026-CHEQUE NO.631921, DATED:01-02-2026 SBI BANK-KANCHEEPURAM</t>
  </si>
  <si>
    <t>PRIYADHARSHINI AND NANDA KUAMAR T V</t>
  </si>
  <si>
    <t>05 FEB 2026-UPI SETTLEMENT IRT481 RS.1</t>
  </si>
  <si>
    <t>05 FEB 2026-IMPS 250584082980 SBI BANK-PRODDATUR</t>
  </si>
  <si>
    <t>EXCLUDING GST, GOVERNMENT CHARGES, MAINTENANCE</t>
  </si>
  <si>
    <t>06 FEB 2026-IMPS 000151728858 HDFC BANK-</t>
  </si>
  <si>
    <t>IMPS 000151728858 HDFC BANK</t>
  </si>
  <si>
    <t>PAR-046</t>
  </si>
  <si>
    <t>IMPS 285897287841 SBI BANK</t>
  </si>
  <si>
    <t>PAR-047</t>
  </si>
  <si>
    <t>IMPS 399721042679 SBI BANK</t>
  </si>
  <si>
    <t>PAR-048</t>
  </si>
  <si>
    <t>APYPT4419H</t>
  </si>
  <si>
    <t>02 FEB 2026-CHEQUE NO.193095, DATED:02-02-2026 SBI BANK-BUMUAR</t>
  </si>
  <si>
    <t>CHEQUE NO.193095, DATED:02-02-2026 SBI BANK</t>
  </si>
  <si>
    <t>PAR-049</t>
  </si>
  <si>
    <t>301</t>
  </si>
  <si>
    <t>07 FEB 2026-IMPS 000476378617 HDFC BANK-</t>
  </si>
  <si>
    <t>IMPS 000476378617 HDFC BANK</t>
  </si>
  <si>
    <t>PAR-050</t>
  </si>
  <si>
    <t>RRL PAB028</t>
  </si>
  <si>
    <t>RRL PAB029</t>
  </si>
  <si>
    <t>RRL PAB030</t>
  </si>
  <si>
    <t>RRL PAB031</t>
  </si>
  <si>
    <t>CHEQUE NO.631921, DATED:01-02-2026</t>
  </si>
  <si>
    <t>SBI BANK, KANCHEEPURAM BRANCH</t>
  </si>
  <si>
    <t>6299 2545 2701</t>
  </si>
  <si>
    <t>C/O NANDAKUMAR</t>
  </si>
  <si>
    <t>16A, KAVARAI STREET, SHEIKPET, KANCHEEPURAM, TAMIL NADU-631502</t>
  </si>
  <si>
    <t>AQWPN4355M</t>
  </si>
  <si>
    <t>90350 58893</t>
  </si>
  <si>
    <t>5512 9381 1634</t>
  </si>
  <si>
    <t>C/O VARADHAN</t>
  </si>
  <si>
    <t>AETPV7479R</t>
  </si>
  <si>
    <t>7447 5594 1936</t>
  </si>
  <si>
    <t>AZBPR7906G</t>
  </si>
  <si>
    <t>S/O REDDIMASI RAMADAS</t>
  </si>
  <si>
    <t>4/1, O C COLONY, Z P H S BOMMANAHAL, ANANTAPUR, ANDHRA PRADESH-515871</t>
  </si>
  <si>
    <t>RRL NATURE WOODS, 216B, THINDLU CIRCLE, CHIKKATHITUPATHI ROAD, SARJAPURA, BANGALORE, KARNATAKA-562125</t>
  </si>
  <si>
    <t>REDDIMASI MOHAN BABU</t>
  </si>
  <si>
    <t>C/O K KRISHNAMARAJU</t>
  </si>
  <si>
    <t>#404, SAI ANUGRAHA APARTMENT, BALAJI LAYOUT, GOLAHALLI ELECTRONICS CITY PHASE-1, ELECTRONIC CITY, BENGALURU, KARNATAKA-560100</t>
  </si>
  <si>
    <t>3193 9634 4730</t>
  </si>
  <si>
    <t>BCIPK3618K</t>
  </si>
  <si>
    <t>W/O RAVI SHANKAR</t>
  </si>
  <si>
    <t>FLAT NO-203, ELV SIGNATURE, 2ND FLOOR, NAGARAJ LAYOUT (SPRING DALE LAYOUT), OPPOSITE VIJAYA NAGAR GOVT URDU SCHOOL, VIJAYA NAGAR, WHITEFIELD, NAGONDAHALLI, BENGALURU, KARNATAKA-560066</t>
  </si>
  <si>
    <t>4401 3162 1347</t>
  </si>
  <si>
    <t>APCPA9769B</t>
  </si>
  <si>
    <t>S/O NAND KISHORE MISHRA</t>
  </si>
  <si>
    <t>IMPS 914176997961</t>
  </si>
  <si>
    <t>AXIS BANK, BANGALORE BRANCH</t>
  </si>
  <si>
    <t>BOLLA BUCHA RAO</t>
  </si>
  <si>
    <t>3-44, KESANAPALLE, GUNTUR, ANDHRA PRADESH-522414</t>
  </si>
  <si>
    <t>FLAT NO.302, ELV SIGNATURE, NAGARAJ LAYOUT, VIJAYNAGAR, OPPOSITE TO PRESTIGE GLENMORGAN, WHITEFIELD, NAGONDAHALLI, BENGALURU, KARNATAKA-560066</t>
  </si>
  <si>
    <t>B2-207 2ND FLOOR, LAA MOONSTONE, NEO TOWN ROAD, NEAR FIRE STATION, ELECTRONIC CITY PHASE 1, BANGALORE SOUTH, BENGALURU, KARNATAKA-560100</t>
  </si>
  <si>
    <t>9627 2385 5596</t>
  </si>
  <si>
    <t>S/O RATHINAM</t>
  </si>
  <si>
    <t>PLOT NUMBER 8, R S VILLA, SARAVANA NAGAR, SANJEEVI NAGAR EXTENSION, NEAR RAHUL TENT WORKS, DEVATHANAM, TIRUCHIRAPPALLI, TAMIL NADU-620002</t>
  </si>
  <si>
    <t>HBQPS4087B</t>
  </si>
  <si>
    <t>7908 0931 7744</t>
  </si>
  <si>
    <t>ASHWADHAI NILAYA, NH 206, BEHIND LIC OFFICE, NEXT TO REVANA SIDDESWARA MANGALYA MANDIRA, BEERALINGESWARA BADAVANE, TARIKERE, CHIKKAMAGALURU, KARNATAKA-577228</t>
  </si>
  <si>
    <t>W/O DEEPAK N S</t>
  </si>
  <si>
    <t>SRI SRI ENCLAVE, FLAT NO.504, 10TH MAIN, 11TH CROSS, MARUTHI NAGAR, OPPOSITE TO P DOT G PLATINUM APARTMENT, MALLESHPALYA, NEW THIPPASANDRA, BENGALURU, KARNATAKA-560075</t>
  </si>
  <si>
    <t>2499 8384 1523</t>
  </si>
  <si>
    <t>DOJPB8749P</t>
  </si>
  <si>
    <t>K SANDHYA</t>
  </si>
  <si>
    <t>FLAT NO.402 4TH FLOOR, SOHAN HORIZON APARTMENT, THIMMA REDDY LAYOUT, HORAMAVU BANASWADI, BENGALURU, KARNATAKA-560043</t>
  </si>
  <si>
    <t>S/O TANUKU SIDDAIAH</t>
  </si>
  <si>
    <t>50/36, KOTTHAPETA, RAYACHOTI, CUDDAPAH, ANDHRA PRADESH-516269</t>
  </si>
  <si>
    <t>8501 4516 9342</t>
  </si>
  <si>
    <t>APIPT9851M</t>
  </si>
  <si>
    <t>80503 29399</t>
  </si>
  <si>
    <t>maheshbabu.tanuku@gmail.com</t>
  </si>
  <si>
    <t>S/O NAGAMALLA CHANDRA</t>
  </si>
  <si>
    <t>24/351, POWER HOUSE ROAD, PRODDATUR, CUDDAPAH, ANDHRA PRADESH-516360</t>
  </si>
  <si>
    <t>5519 7852 1762</t>
  </si>
  <si>
    <t>ANEPH1097D</t>
  </si>
  <si>
    <t xml:space="preserve">94393 75969 </t>
  </si>
  <si>
    <t>99663 03460 / +6594243236</t>
  </si>
  <si>
    <t>RTGS ICICR12026020408868271 ICICI BANK</t>
  </si>
  <si>
    <t>PAR-051</t>
  </si>
  <si>
    <t>TATA CAPITAL</t>
  </si>
  <si>
    <t>BOB</t>
  </si>
  <si>
    <t>12 FEB 2026-RTGS SBINR52026021216352444 SBI BANK-MADANAPALLE</t>
  </si>
  <si>
    <t>12 Feb 2026-Refunded Cheque No.000005, Dated:12-02-2026 HDFC 8389</t>
  </si>
  <si>
    <t>13 JAN 2026-CHEQUE NO.000024, DATED:13-01-2026 HDFC BANK-BOMMANAHALLY</t>
  </si>
  <si>
    <t>12 FEB 2026-CHEQUE NO.000025, DATED:12-02-2026 HDFC BANK-BOMMANAHALLY</t>
  </si>
  <si>
    <t>12 FEB 2026-CHEQUE NO.000003, DATED:12-02-2026 HDFC BANK-KAGGADASPURA</t>
  </si>
  <si>
    <t>CHEQUE NO.631921, DATED:01-02-2026 SBI BANK</t>
  </si>
  <si>
    <t>305</t>
  </si>
  <si>
    <t>PAR-052</t>
  </si>
  <si>
    <t>12 FEB 2026-IMPS SBIN326043972202 SBI BANK-DOMLUR</t>
  </si>
  <si>
    <t>98491 86825 / 97317 22081</t>
  </si>
  <si>
    <t>BOLLA SIREESHA AND BOLLA BUCHA RAO</t>
  </si>
  <si>
    <t>BOLLA BUCHA RAO AND BOLLA SIREESHA</t>
  </si>
  <si>
    <t>PRIYADHARSHINI NANDAKUMAR</t>
  </si>
  <si>
    <t>CANARA</t>
  </si>
  <si>
    <t>14 FEB 2026-CHEQUE NO.042821, DATED:14-02-2026 ICICI BANK-ELECTRONIC CITY</t>
  </si>
  <si>
    <t>14 FEB 2026-CHEQUE NO.042822, DATED:14-02-2026 ICICI BANK-ELECTRONIC CITY</t>
  </si>
  <si>
    <t>14 FEB 2026-CHEQUE NO.512550, DATED:14-02-2026 AXIS BANK-N M ROAD KOREGAON PARK</t>
  </si>
  <si>
    <t>14 FEB 2026-CHEQUE NO.512549, DATED:14-02-2026 AXIS BANK-N M ROAD KOREGAON PARK</t>
  </si>
  <si>
    <t>14 FEB 2026-CHEQUE NO.249388, DATED:14-02-2026 AXIS BANK-RANGA COMPLEX M G ROAD</t>
  </si>
  <si>
    <t>14 FEB 2026-CHEQUE NO.249389, DATED:14-02-2026 AXIS BANK-RANGA COMPLEX M G ROAD</t>
  </si>
  <si>
    <t>KRISHNA GANJI AND RADHIKA GANJI</t>
  </si>
  <si>
    <t>RADHIKA GANJI</t>
  </si>
  <si>
    <t>Sashank Amogha, Flat No. 203, Sy no 4/2, KPSC/ Vidhanasoudha Layout Phase 3, Agrahara, Yelahanka, Hobli, Bengaluru, Karnataka 560064</t>
  </si>
  <si>
    <t>NANDAKUMAR T V</t>
  </si>
  <si>
    <t>96209 58892</t>
  </si>
  <si>
    <t>nandakumartv@gmail.com</t>
  </si>
  <si>
    <t>NANDAKUMAR T V AND PRIYADHARSHINI NANDAKUMAR</t>
  </si>
  <si>
    <t>BOLLA SIREESHA</t>
  </si>
  <si>
    <t>3-44 KESANAPALLI, KESANAPALLE, GUNTUR, ANDHRA PREDESH – 522414</t>
  </si>
  <si>
    <t>SASHANK AMOGHA, FLAT NO. 203, SY NO 4/2, KPSC/ VIDHANASOUDHA LAYOUT PHASE 3, AGRAHARA, YELAHANKA, HOBLI, BENGALURU, KARNATAKA 560064</t>
  </si>
  <si>
    <t>16 FEB 2026-CHEQUE NO.631924, DATED:16-02-2026 SBI BANK-KANCHEEPURAM</t>
  </si>
  <si>
    <t>CHEQUE NO.631924, DATED:16-02-2026 SBI BANK</t>
  </si>
  <si>
    <t>PAR-053</t>
  </si>
  <si>
    <t>17 FEB 2026-Refunded Cheque NO.000007, Dated:17-02-2026 HDFC 389</t>
  </si>
  <si>
    <t>IMPS 499729010787 AXIS BANK</t>
  </si>
  <si>
    <t>PAR-054</t>
  </si>
  <si>
    <t>30 JAN 2026-NEFT SBIN126030407941 SBI BANK-HAL</t>
  </si>
  <si>
    <t>NEFT SBIN126030407941 SBI BANK</t>
  </si>
  <si>
    <t>PAR-055</t>
  </si>
  <si>
    <t>17 FEB 2026-IMPS FTIMPS025013V HDFC BANK-GACHIBOWLI</t>
  </si>
  <si>
    <t>17 FEB 2026-Cheque no.000008, Dated:17-02-2026 HDFC 389</t>
  </si>
  <si>
    <t>ATTLURI RAVITEJA</t>
  </si>
  <si>
    <t>96633 41974</t>
  </si>
  <si>
    <t>atluri.Raviteja005@gmail.com</t>
  </si>
  <si>
    <t>15 FEB 2026-RTGS ICICR12026021509057359 ICICI BANK-OLD MADRAS ROAD</t>
  </si>
  <si>
    <t>15 FEB 2026-IMPS 255342516911 SBI BANK-THADIKONDA</t>
  </si>
  <si>
    <t>16 FEB 2026-IMPS 858424927556 AXIS BANK-SRINAGAR COLONY</t>
  </si>
  <si>
    <t>16 FEB 2026-IMPS 487281197762 SBI BANK-THADIKONDA</t>
  </si>
  <si>
    <t>17 FEB 2026-NEFT AXOMB04802058184 AXIS BANK-M G ROAD</t>
  </si>
  <si>
    <t>RTGS ICICR12026021509057359 ICICI BANK</t>
  </si>
  <si>
    <t>PAR-056</t>
  </si>
  <si>
    <t>PAR-057</t>
  </si>
  <si>
    <t>FTIMPS-025013 HDFC BANK</t>
  </si>
  <si>
    <t>NEFT AXOMB04802058184 AXIS BANK</t>
  </si>
  <si>
    <t>PAR-058</t>
  </si>
  <si>
    <t>PAR-059</t>
  </si>
  <si>
    <t>IMPS 794239458099 UNION BANK</t>
  </si>
  <si>
    <t>PAR-060</t>
  </si>
  <si>
    <t>PAR-061</t>
  </si>
  <si>
    <t>IMPS 487281197762 SBI BANK</t>
  </si>
  <si>
    <t>IMPS 255342516911 SBI BANK</t>
  </si>
  <si>
    <t>PAR-062</t>
  </si>
  <si>
    <t>17 FEB 2026-IMPS 700965225266 SBI BANK-THADIKONDA</t>
  </si>
  <si>
    <t>CHEQUE NO.000003, DATED:12-02-2026 HDFC BANK</t>
  </si>
  <si>
    <t>PAR-063</t>
  </si>
  <si>
    <t>17 FEB 2026-IMPS 747761708232 AXIS BANK-SRINAGAR COLONY</t>
  </si>
  <si>
    <t>IMPS 858424927556 AXIS BANK</t>
  </si>
  <si>
    <t>PAR-064</t>
  </si>
  <si>
    <t>IMPS 747761708232 AXIS BANK</t>
  </si>
  <si>
    <t>PAR-065</t>
  </si>
  <si>
    <t>B 116, Laasya Pride Apartment, Vivekananda Nagar Chikka Thogur, Electronic City, Bangalore Urban, Karnataka-560100</t>
  </si>
  <si>
    <t>ABHISHEK ROY</t>
  </si>
  <si>
    <t>S/O ARUN KUMAR ROY</t>
  </si>
  <si>
    <t>2908 7153 6853</t>
  </si>
  <si>
    <t>CCUPR8244N</t>
  </si>
  <si>
    <t>70083 41807</t>
  </si>
  <si>
    <t>18 FEB 2026-IMPS 877156077135 AXIS BANK-SRINAGAR COLONY</t>
  </si>
  <si>
    <t>19 FEB 2026-RTGS ICICR12026021909122901 ICICI BANK-BANGALORE</t>
  </si>
  <si>
    <t>RTGS ICICR12026021909122901 ICICI BANK</t>
  </si>
  <si>
    <t>PAR-066</t>
  </si>
  <si>
    <t>19 FEB 2026-RTGS ICICR12026021909126624 ICICI BANK-OLD MADRAS ROAD</t>
  </si>
  <si>
    <t>RTGS ICICR12026021909126624 ICICI BANK</t>
  </si>
  <si>
    <t>IMPS 700965225266 SBI BANK</t>
  </si>
  <si>
    <t>PAR-067</t>
  </si>
  <si>
    <t>19 FEB 2026-IMPS 000207347693 HDFC BANK-</t>
  </si>
  <si>
    <t>IMPS 000207347693 HDFC BANK</t>
  </si>
  <si>
    <t>PAR-068</t>
  </si>
  <si>
    <t>1602</t>
  </si>
  <si>
    <t>PAR-069</t>
  </si>
  <si>
    <t>CARD  SETTL. 63994764, DATED:05-02-2026</t>
  </si>
  <si>
    <t>PAR-070</t>
  </si>
  <si>
    <t>abhivk4u@gmail.com</t>
  </si>
  <si>
    <t>20 FEB 2026-IMPS 605156994431 SBI BANK-</t>
  </si>
  <si>
    <t>20 FEB 2026-RTGS BARBR52026022000984012 BOB BANK-WHITEFIELD</t>
  </si>
  <si>
    <t>20 FEB 2026-RTGS BARBR52026022000983740 BOB BANK-WHITEFIELD</t>
  </si>
  <si>
    <t>PAR-071</t>
  </si>
  <si>
    <t>RTGS BARBR52026022000983740 BOB BANK</t>
  </si>
  <si>
    <t>RTGS BARBR52026022000984012 BOB BANK</t>
  </si>
  <si>
    <t>PAR-072</t>
  </si>
  <si>
    <t xml:space="preserve">DRISYARAJ A K </t>
  </si>
  <si>
    <t>77367 67697</t>
  </si>
  <si>
    <t>89439 37173</t>
  </si>
  <si>
    <t>222drisya@gmail.com</t>
  </si>
  <si>
    <t>5778 6183 0591</t>
  </si>
  <si>
    <t>ANIKKUNNUMMAL, PADANILAM P.O., ARAMBRAM, MADAVOOR, KOZHIKODE, KERALA-673571</t>
  </si>
  <si>
    <t>DRISYARAJ A K AND ABHILASH V K</t>
  </si>
  <si>
    <t>W/O ABHILASH V K</t>
  </si>
  <si>
    <t>ABHILASH V K</t>
  </si>
  <si>
    <t>7383 0264 4871</t>
  </si>
  <si>
    <t>S/O RATHEESHAN V K</t>
  </si>
  <si>
    <t>INDRAPRASTHAM, KOOMANTHODI, EDAKKAD PUTHIYANGADI, EDAKKAD POD, KOZHIKODE (MCL), KOZHIKODE, KERALA-673005</t>
  </si>
  <si>
    <t>BNOPA1326B</t>
  </si>
  <si>
    <t>IMPS 605156994431</t>
  </si>
  <si>
    <t>SBI BANK</t>
  </si>
  <si>
    <t>IMPS 605156994431 SBI BANK</t>
  </si>
  <si>
    <t>PAR-073</t>
  </si>
  <si>
    <t>EXCLUDING GOVERNMENT CHARGES, GST &amp; MAINTENANCE</t>
  </si>
  <si>
    <t>CZOPA4834M</t>
  </si>
  <si>
    <t>S/O A SUBBARAO</t>
  </si>
  <si>
    <t>SOVARAJ PRUSTY</t>
  </si>
  <si>
    <t>7173 4685 5961</t>
  </si>
  <si>
    <t>FLAT NO.B-115, 1ST FLOOR, NISHANT PRIME, IMMADIHALLI MAIN ROAD, NEAR KARIMARIYAMMA TEMPLE, WHITEFIELD, BANGALORE NORTH, IMMEDIHALLI, BENGALURU, KARNATAKA-560066</t>
  </si>
  <si>
    <t>ANJPP0088P</t>
  </si>
  <si>
    <t>C/O DOLAGOVINDA PRUSTY</t>
  </si>
  <si>
    <t>99801 88495</t>
  </si>
  <si>
    <t>sovaraj@gmail.com</t>
  </si>
  <si>
    <t>EXCLUDING MAINTENANCE &amp; 18% GST</t>
  </si>
  <si>
    <t>AODPA9658K</t>
  </si>
  <si>
    <t>SAVITA DATTATRAY AVHAD</t>
  </si>
  <si>
    <t>W/O SOVARAJ PRUSTY</t>
  </si>
  <si>
    <t>SOVARAJ PRUSTY AND SAVITA DATTATRAY AVHAD</t>
  </si>
  <si>
    <t>3976 2394 5274</t>
  </si>
  <si>
    <t>95385 86215</t>
  </si>
  <si>
    <t>savita.789@gmail.com</t>
  </si>
  <si>
    <t>18 FEB 2026-RTGS UTIBR72026021800578626 AXIS BANK-M G ROAD</t>
  </si>
  <si>
    <t>22 FEB 2026-IMPS 000419294308 HDFC BANK-GACHIBOWLI</t>
  </si>
  <si>
    <t>22 FEB 2026-IMPS 000419374418 HDFC BANK-GACHIBOWLI</t>
  </si>
  <si>
    <t>22 FEB 2026-CARD SETTL. 639947654, DATED:22-02-2026</t>
  </si>
  <si>
    <t>22 FEB 2026-IMPS 605357380675 AXIS BANK-</t>
  </si>
  <si>
    <t>IMPS 605357380675 AXIS BANK</t>
  </si>
  <si>
    <t>PAR-074</t>
  </si>
  <si>
    <t>CARD SETTL. 639947654, DATED:22-02-2026</t>
  </si>
  <si>
    <t>PAR-075</t>
  </si>
  <si>
    <t>14 FEB 2026-NEFT IDFB604565263324 IDFC BANK-ITPB</t>
  </si>
  <si>
    <t>RTGS UTIBR72026021800578626 AXIS BANK</t>
  </si>
  <si>
    <t>201</t>
  </si>
  <si>
    <t>PAR-076</t>
  </si>
  <si>
    <t>PAR-077</t>
  </si>
  <si>
    <t>IMPS 000419294308 HDFC BANK</t>
  </si>
  <si>
    <t>IMPS 000419374418 HDFC BANK</t>
  </si>
  <si>
    <t>PAR-078</t>
  </si>
  <si>
    <t>IMPS 181091196212 SBI BANK</t>
  </si>
  <si>
    <t>PAR-079</t>
  </si>
  <si>
    <t>PAR-080</t>
  </si>
  <si>
    <t>IMPS SBIN326043972202 SBI BANK</t>
  </si>
  <si>
    <t>NEFT IDFB604565263324 IDFC BANK</t>
  </si>
  <si>
    <t>PAR-081</t>
  </si>
  <si>
    <t>KIRAN KUMAR REDDY POREDDY</t>
  </si>
  <si>
    <t>EXCLUDING GST &amp; MAINTENANCE</t>
  </si>
  <si>
    <t>23 FEB 2026-IMPS 642060267880 ICICI BANK-</t>
  </si>
  <si>
    <t>IMPS 642060267880 ICICI BANK</t>
  </si>
  <si>
    <t>PAR-082</t>
  </si>
  <si>
    <t>601</t>
  </si>
  <si>
    <t>RRL PAB032</t>
  </si>
  <si>
    <t>RRL PAB033</t>
  </si>
  <si>
    <t>RRL PAB035</t>
  </si>
  <si>
    <t>CHEQUE NO.249388, DATED:14-02-2026 AXIS BANK</t>
  </si>
  <si>
    <t>PAR-083</t>
  </si>
  <si>
    <t>CHEQUE NO.042821, DATED:14-02-2026 ICICI BANK</t>
  </si>
  <si>
    <t>PAR-084</t>
  </si>
  <si>
    <t>CHEQUE NO.042822, DATED:14-02-2026 ICICI BANK</t>
  </si>
  <si>
    <t>801</t>
  </si>
  <si>
    <t>PAR-085</t>
  </si>
  <si>
    <t>CHEQUE NO.249389, DATED:14-02-2026 AXIS BANK</t>
  </si>
  <si>
    <t>PAR-086</t>
  </si>
  <si>
    <t>24 FEB 2026-IMPS 605518035913 ICICI BANK-</t>
  </si>
  <si>
    <t>IMPS 605518035913 ICICI BANK</t>
  </si>
  <si>
    <t>PAR-087</t>
  </si>
  <si>
    <t>ARUN KUMAR ROY AND ABHISHEK ROY</t>
  </si>
  <si>
    <t>06 FEB 2026-CARD SETTL. 63994764, DATED:05-02-2026</t>
  </si>
  <si>
    <t>25 FEB 2026-CHEQUE NO.000832, DATED:25-02-2026 ICICI BANK-</t>
  </si>
  <si>
    <t>25 FEB 2026-IMPS 000191416138 HDFC BANK-</t>
  </si>
  <si>
    <t>PAR-088</t>
  </si>
  <si>
    <t>IMPS 000191416138 HDFC BANK</t>
  </si>
  <si>
    <t>NOC Received</t>
  </si>
  <si>
    <t>Bajaj NOC Status</t>
  </si>
  <si>
    <t>CHEQUE NO.000025, DATED:12-02-2026 HDFC BANK</t>
  </si>
  <si>
    <t>PAR-089</t>
  </si>
  <si>
    <t>Duplicate Cancelled</t>
  </si>
  <si>
    <t>SBI</t>
  </si>
  <si>
    <t>SHUBHRASMITA NAYAK AND JOYDEEP NAYAK</t>
  </si>
  <si>
    <t>#269, AMARESHWARA CAMP, HIRE KOTNEKAL POST,
MANVI TQ, RAICHUR DISTRICT, KARNATAKA-584123</t>
  </si>
  <si>
    <t>26 FEB 2026-RTGS BARBR52026022600858437 BOB LOAN</t>
  </si>
  <si>
    <t>RTGS BARBR52026022600858437 BOB LOAN</t>
  </si>
  <si>
    <t>PAR-090</t>
  </si>
  <si>
    <t>CHEQUE NO.000832, DATED:25-02-2026 ICICI BANK</t>
  </si>
  <si>
    <t>PAR-091</t>
  </si>
  <si>
    <t>Yet to Receive-Cheque No.000042, Dated:19-02-2026 HDFC BANK-RICHMOND ROAD</t>
  </si>
  <si>
    <t>Cheque No.000042, Dated:19-02-2026 HDFC BANK</t>
  </si>
  <si>
    <t>PAR-092</t>
  </si>
  <si>
    <t>NAGALAKSHMI RAMARAJ</t>
  </si>
  <si>
    <t>27 FEB 2026-RTGS BKIDR52026022700301449 BOI BANK-</t>
  </si>
  <si>
    <t>RTGS BKIDR52026022700301449 BOI BANK</t>
  </si>
  <si>
    <t>PAR-093</t>
  </si>
  <si>
    <t>27 FEB 2026-RTGS BARBR52026022700911364 BOB LOAN</t>
  </si>
  <si>
    <t>RTGS BARBR52026022700911364 BOB LOAN</t>
  </si>
  <si>
    <t>PAR-094</t>
  </si>
  <si>
    <t>27 FEB 2026-RTGS BARBR52026022700917169 BOB LOAN</t>
  </si>
  <si>
    <t>RTGS BARBR52026022700917169 BOB LOAN</t>
  </si>
  <si>
    <t>RTGS BARBR52026022700924317 BOB LOAN</t>
  </si>
  <si>
    <t>PAR-095</t>
  </si>
  <si>
    <t>27 FEB 2026-RTGS BARBR52026022700924317 BOB LOAN</t>
  </si>
  <si>
    <t>PAR-096</t>
  </si>
  <si>
    <t>27 FEB 2026-RTGS BARBR52026022700933678 BOB LOAN</t>
  </si>
  <si>
    <t>RTGS BARBR52026022700933678 BOB LOAN</t>
  </si>
  <si>
    <t>PAR-097</t>
  </si>
  <si>
    <t>28 FEB 2026-CHEQUE NO.000944, DATED:02-03-2026 ICICI BANK-HSR LAYOUT</t>
  </si>
  <si>
    <t>4658 1916 8502</t>
  </si>
  <si>
    <t>W/O REDDI MASI MOHAN BABU</t>
  </si>
  <si>
    <t>4-1, BOMMANAHAL, ANANTHAPURAMU, ANDHRA PRADESH-515871</t>
  </si>
  <si>
    <t>PAR-098</t>
  </si>
  <si>
    <t>PAR-099</t>
  </si>
  <si>
    <t>Refunded-Cheque No.000012, Dated:28-02-2026 HDFC 8389</t>
  </si>
  <si>
    <t>kkmkhandelwal@gmail.com</t>
  </si>
  <si>
    <t>KULDEEP KHANDELWAL</t>
  </si>
  <si>
    <t>01 MAR 2026-IMPS 642635791946 HDFC BANK-</t>
  </si>
  <si>
    <t>02 MAR 2026-IMPS 606111762301 HDFC BANK-</t>
  </si>
  <si>
    <t>PAR-100</t>
  </si>
  <si>
    <t>1102</t>
  </si>
  <si>
    <t>IMPS 642635791946 HDFC BANK</t>
  </si>
  <si>
    <t>IMPS 606111762301 HDFC BANK</t>
  </si>
  <si>
    <t>1705</t>
  </si>
  <si>
    <t>PRASADARAJU YARAKARAJU AND CHAITANYA LAKSHMI RAMYA KUCHARLAPATI</t>
  </si>
  <si>
    <t>PRASADARAJU YARAKARAJU</t>
  </si>
  <si>
    <t>CHAITANYA LAKSHMI RAMYA KUCHARLAPATI</t>
  </si>
  <si>
    <t>S/O VENKATRAMARAJU YARAKARAJU</t>
  </si>
  <si>
    <t>FLAT NO A018, SSVR LOTUS POND APARTMENTS, HALASAHALLI ROAD, VARTHUR, BANGALORE-560087</t>
  </si>
  <si>
    <t>99808 26481</t>
  </si>
  <si>
    <t>2169 1474 8737</t>
  </si>
  <si>
    <t>ABVPY0262C</t>
  </si>
  <si>
    <t>W/O PRASADARAJU YARAKARAJU</t>
  </si>
  <si>
    <t>5266 6282 5560</t>
  </si>
  <si>
    <t>GGDPR6693P</t>
  </si>
  <si>
    <t>94814 11618</t>
  </si>
  <si>
    <t>03 MAR 2026-IMPS 606207688728 HDFC BANK-</t>
  </si>
  <si>
    <t>09 JAN 2025-IMPS 11693116468 Amt trns to Palacio a/c 50K</t>
  </si>
  <si>
    <t>Cess 0.7%</t>
  </si>
  <si>
    <t>BHAWESH MEHTA AND SOUMYA BISHT MEHTA</t>
  </si>
  <si>
    <t>03 MAR 2026-CARD SETTL.63994764, RR NO.606212422156 HDFC BANK-</t>
  </si>
  <si>
    <t>PAR-101</t>
  </si>
  <si>
    <t>1702</t>
  </si>
  <si>
    <t>IMPS 606207688728 HDFC BANK</t>
  </si>
  <si>
    <t>PAR-102</t>
  </si>
  <si>
    <t>CARD SETTL.63994764, RR NO.606212422156 HDFC BANK</t>
  </si>
  <si>
    <t>PAR-103</t>
  </si>
  <si>
    <t>91601 72646</t>
  </si>
  <si>
    <t>S/O K S RAJENDRA PILLAI</t>
  </si>
  <si>
    <t>RAJENDRAPILLAI RAGHAVENDRAN</t>
  </si>
  <si>
    <t>+65 98515620</t>
  </si>
  <si>
    <t>4497 3814 4137</t>
  </si>
  <si>
    <t>AHBPR5253J</t>
  </si>
  <si>
    <t>3259 4223 1537</t>
  </si>
  <si>
    <t>DHOPD0840K</t>
  </si>
  <si>
    <t>28-759/1, KANNAIAH NAIDU COLONY, CHITTOOR-517001</t>
  </si>
  <si>
    <t>W/O R VIJAYENDRAN</t>
  </si>
  <si>
    <t>D S HEMALATHA AND R VIJAYENDRAN</t>
  </si>
  <si>
    <t>D S HEMALATHA</t>
  </si>
  <si>
    <t>R VIJAYENDRAN</t>
  </si>
  <si>
    <t xml:space="preserve">S/O K S RAJENDRA PILLAI </t>
  </si>
  <si>
    <t>7088 2090 4094</t>
  </si>
  <si>
    <t>ALMPR7358B</t>
  </si>
  <si>
    <t>PAR-104</t>
  </si>
  <si>
    <t>CHEQUE NO.000944, DATED:02-03-2026 ICICI BANK</t>
  </si>
  <si>
    <t>4 MAR 2026-IMPS 603047761739 HDFC LOAN</t>
  </si>
  <si>
    <t>IMPS 603047761739 HDFC LOAN</t>
  </si>
  <si>
    <t>PAR-105</t>
  </si>
  <si>
    <t>28-819, KANNAIAH NAIDU COLONY CHITTOOR, ANDHRA PRADESH 517001</t>
  </si>
  <si>
    <t>IMPS 877156077135 AXIS BANK</t>
  </si>
  <si>
    <t>PAR-106</t>
  </si>
  <si>
    <t>S/O MANSUKH LAL KHANDELWAL</t>
  </si>
  <si>
    <t>H.N. #3, PREM NIWAS, OLD POST OFFICE RD, RAMAMURTHY NAGAR, BENGALURU-560016</t>
  </si>
  <si>
    <t>KHARTARA WAS, TEHSIL JALORE, JALOR, RAJASTHAN-343001</t>
  </si>
  <si>
    <t>4257 8672 4411</t>
  </si>
  <si>
    <t>CBHPK2588K</t>
  </si>
  <si>
    <t>94612 55836</t>
  </si>
  <si>
    <t>9 MAR 2026-NEFT HSBCN06826686490 HSBC BANK-MAIN BRANCH, CHENNAI</t>
  </si>
  <si>
    <t>PAR-107</t>
  </si>
  <si>
    <t>RTGS BKIDR52026030900684669</t>
  </si>
  <si>
    <t>09 MAR 2026-RTGS BKIDR52026030900684669 IDBI BANK-DEVANAHALLI</t>
  </si>
  <si>
    <t>09 MAR 2026-IMPS 000298053748 HDFC BANK-AJMER ROAD</t>
  </si>
  <si>
    <t>CHEQUE NO.512550, DATED:14-02-2026 AXIS BANK</t>
  </si>
  <si>
    <t>PAR-108</t>
  </si>
  <si>
    <t>PAR-109</t>
  </si>
  <si>
    <t>12 MAR 2026-IMPS 000255305277 HDFC BANK-AJMER ROAD</t>
  </si>
  <si>
    <t>12 MAR 2026-IMPS 000255367792 HDFC BANK-AJMER ROAD</t>
  </si>
  <si>
    <t>12 MAR 2026-IMPS 000255425638 HDFC BANK-AJMER ROAD</t>
  </si>
  <si>
    <t>12 MAR 2026-IMPS 000255611718 HDFC BANK-AJMER ROAD</t>
  </si>
  <si>
    <t>12 MAR 2026-IMPS 000255704986 HDFC BANK-AJMER ROAD</t>
  </si>
  <si>
    <t>IMPS 000298053748 HDFC BANK</t>
  </si>
  <si>
    <t>PAR-110</t>
  </si>
  <si>
    <t>IMPS 000255305277 HDFC BANK</t>
  </si>
  <si>
    <t>PAR-111</t>
  </si>
  <si>
    <t>PAR-112</t>
  </si>
  <si>
    <t>PAR-113</t>
  </si>
  <si>
    <t>PAR-114</t>
  </si>
  <si>
    <t>IMPS 000255367792 HDFC BANK</t>
  </si>
  <si>
    <t>IMPS 000255425638 HDFC BANK</t>
  </si>
  <si>
    <t>IMPS 000255611718 HDFC BANK</t>
  </si>
  <si>
    <t>IMPS 000255704986 HDFC BANK</t>
  </si>
  <si>
    <t>PAR-115</t>
  </si>
  <si>
    <t>30 JAN 2026-CHEQUE NO.097881, DATED:30-01-2026 AXIS BANK</t>
  </si>
  <si>
    <t>CHEQUE NO.097881, DATED:30-01-2026 AXIS BANK</t>
  </si>
  <si>
    <t>PAR-116</t>
  </si>
  <si>
    <t>12 MAR 2026-RTGS CNRBR52026031279911058 CANARA BANK LOAN</t>
  </si>
  <si>
    <t>RTGS CNRBR52026031279911058 CANARA BANK LOAN</t>
  </si>
  <si>
    <t>PAR-117</t>
  </si>
  <si>
    <t>RTGS BARBR52026031300895655</t>
  </si>
  <si>
    <t xml:space="preserve">13-MAR-RTGS BARBR52026031300895655 , DATED:13-03-2026  BOB Loan </t>
  </si>
  <si>
    <t>FLAT NO A018, SSVR LOTUS POND APTS, HALASAHALLI ROAD, NEAR VARTHUR POLICE STATION, VARTUR, BENGALURU, KARNATAKA-560087</t>
  </si>
  <si>
    <t>97011 96760</t>
  </si>
  <si>
    <t>HDFC NOC Received</t>
  </si>
  <si>
    <t>14 MAR 2026-CHEQUE NO.000021 DATED:14-03-2026 HDFC 389</t>
  </si>
  <si>
    <t xml:space="preserve">13-MAR 2026 - IMPS 603138563028 HDFC BANK -LOAN </t>
  </si>
  <si>
    <t xml:space="preserve"> IMPS 603138563028 HDFC BANK -LOAN </t>
  </si>
  <si>
    <t>PAR-118</t>
  </si>
  <si>
    <t>13 MAR 2026-IMPS 000380557661 HDFC BANK-AJMER ROAD</t>
  </si>
  <si>
    <t>PAR-119</t>
  </si>
  <si>
    <t>RTGS-BARBR52026031300935599  BOB BANK LOAN</t>
  </si>
  <si>
    <t>IMPS-000380557661</t>
  </si>
  <si>
    <t>PAR-120</t>
  </si>
  <si>
    <t xml:space="preserve"> 13-MAR 2026 RTGS-BARBR52026031300935599  BOB BANK LOAN DATED:13-03-2026</t>
  </si>
  <si>
    <t>PAR-121</t>
  </si>
  <si>
    <t>SRUTHI &amp; ALGARSAMY AVN</t>
  </si>
  <si>
    <t xml:space="preserve">IMPS-643973770335 ICICI BANK </t>
  </si>
  <si>
    <t>Will refund-Cheque No.</t>
  </si>
  <si>
    <t xml:space="preserve"> Credit-CARD SETTL. 63994764 (Invoice No.5), DATED:02-03-2026</t>
  </si>
  <si>
    <t xml:space="preserve"> Credit-CARD SETTL. 63994764 (Invoice No.6), DATED:02-03-2026</t>
  </si>
  <si>
    <t>PAR-122</t>
  </si>
  <si>
    <t>16 MAR 2026-RTGS BARBR52026031600824270 BOB LOAN</t>
  </si>
  <si>
    <t>16 MAR 2026-RTGS BARBR52026031600809424 BOB LOAN</t>
  </si>
  <si>
    <t>PAR-123</t>
  </si>
  <si>
    <t>RTGS BARBR52026031600809424 BOB LOAN</t>
  </si>
  <si>
    <t>PAR-124</t>
  </si>
  <si>
    <t>RTGS BARBR52026031600824270 BOB LOAN</t>
  </si>
  <si>
    <t>PAR-125</t>
  </si>
  <si>
    <t xml:space="preserve">17-Mar 2026  RTGS -ICICR12026031709582309 , DATED:16-03-2026 ICICI BANK </t>
  </si>
  <si>
    <t xml:space="preserve"> RTGS -ICICR12026031709582309 ICICI BANK</t>
  </si>
  <si>
    <t>IMPS -IN12607428344135</t>
  </si>
  <si>
    <t>PAR-126</t>
  </si>
  <si>
    <t>Clubhouse</t>
  </si>
  <si>
    <t>15 MAR 2026-IMPS IN12607428344135 ICICI BANK</t>
  </si>
  <si>
    <t>14 MAR 2026-IMPS 643973770335 DATED:14-03-2026 HDFC BANK</t>
  </si>
  <si>
    <t>NO.13, S2, AMR NIVAS, 7TH CROSS, 39TH MAIN, KAS OFFICERS COLONY, BTM 2 ND STAGE , BANGALORE- 560068</t>
  </si>
  <si>
    <t>SRUTHI</t>
  </si>
  <si>
    <t>D NO.F 349, VV NAGAR, TNHB COLONY, COIMBATORE NORTH, GANAPATHY, COIMBATORE, TAMIL NADU-641006</t>
  </si>
  <si>
    <t>9703 3049 6220</t>
  </si>
  <si>
    <t>SRUTHI AND ALAGARSAMY A V N</t>
  </si>
  <si>
    <t>ALAGARSAMY A V N</t>
  </si>
  <si>
    <t>5170 3468 6955</t>
  </si>
  <si>
    <t>S/O NATARAJAN A V</t>
  </si>
  <si>
    <t>NO.56, RAJA STREET, NO.3 BUSSTOP, GANAPATHY, COIMBATORE NORTH, COIMBATORE, TAMIL NADU-641006</t>
  </si>
  <si>
    <t>99435 10166</t>
  </si>
  <si>
    <t>CWKPS7200N</t>
  </si>
  <si>
    <t>AYLPA9560G</t>
  </si>
  <si>
    <t>sruthicutey4@gmail.com</t>
  </si>
  <si>
    <t>98846 10166</t>
  </si>
  <si>
    <t>16-MAR-2026 IMPS- IN12607528499768 , DATED: 16-03-2026 ICICI BANK</t>
  </si>
  <si>
    <t>PAR-127</t>
  </si>
  <si>
    <t xml:space="preserve"> CHEQUE NO . 631925</t>
  </si>
  <si>
    <t>CHEQUE NO . 631926</t>
  </si>
  <si>
    <t xml:space="preserve"> Credit-CARD SETTL. 63994764, DATED:02-03-2026</t>
  </si>
  <si>
    <t>15 MAR 2026-CHEQUE NO.631925, DATED: 15-03-2026 SBI BANK</t>
  </si>
  <si>
    <t>15 MAR 2026-CHEQUE NO.631926, DATED: 15-03-2026 SBI BANK</t>
  </si>
  <si>
    <t xml:space="preserve">18 MAR 2026 - IMPS  603181912288 HDFC BANK LOAN </t>
  </si>
  <si>
    <t xml:space="preserve"> IMPS  603181912288 HDFC BANK LOAN </t>
  </si>
  <si>
    <t>PAR-128</t>
  </si>
  <si>
    <t>PAR-129</t>
  </si>
  <si>
    <t>ABINASH PATRA</t>
  </si>
  <si>
    <t>S/O BISHNU PRASAD PATRA</t>
  </si>
  <si>
    <t xml:space="preserve">B204 VAISHNO SILVER BELLS BALAYERE RODED, VARTHUR, BANGALORE </t>
  </si>
  <si>
    <t xml:space="preserve"> DHARAMGARH KALAHANDI ,ODISHA, 766015</t>
  </si>
  <si>
    <t>4813 1736 3065</t>
  </si>
  <si>
    <t>CZXPP2764C</t>
  </si>
  <si>
    <t>SROTASWINI PADHI</t>
  </si>
  <si>
    <t>W/O ABINASH PATRA</t>
  </si>
  <si>
    <t>BIJAMARA ,  KALAHANDI ,ODISHA, 766018</t>
  </si>
  <si>
    <t>FWUPP5093P</t>
  </si>
  <si>
    <t>6159 3026 6943</t>
  </si>
  <si>
    <t xml:space="preserve">  IMPS 642497868017</t>
  </si>
  <si>
    <t>ABINASH PATRA AND SROTASWINI PADHI</t>
  </si>
  <si>
    <t>padhi.sapna314@gmail.com</t>
  </si>
  <si>
    <t xml:space="preserve"> IMPS 642497868017 ICICI BANK</t>
  </si>
  <si>
    <t>19 MAR 2026-IMPS 642497868017 ICICI BANK</t>
  </si>
  <si>
    <t>patra.abinash02@gmail.com</t>
  </si>
  <si>
    <t xml:space="preserve">20- MAR 2026- IMPS 000162415469 HDFC BANK </t>
  </si>
  <si>
    <t xml:space="preserve">20 MAR 2026 - IMPS  000169657670 HDFC BANK </t>
  </si>
  <si>
    <t xml:space="preserve">IMPS 000162415469 HDFC BANK </t>
  </si>
  <si>
    <t xml:space="preserve">IMPS  000169657670 HDFC BANK </t>
  </si>
  <si>
    <t>PAR-130</t>
  </si>
  <si>
    <t>PAR-131</t>
  </si>
  <si>
    <t>19 MAR 2026-IMPS  000286986728 HDFC BANK -AJMER ROAD</t>
  </si>
  <si>
    <t>PAR-132</t>
  </si>
  <si>
    <t>PAR-133</t>
  </si>
  <si>
    <t>20 MAR 2026 -IMPS BARBR52026032000820659 BOB LAON</t>
  </si>
  <si>
    <t>IMPS BARBR52026032000820659 BOB LAON</t>
  </si>
  <si>
    <t>IMPS  000286986728 HDFC BANK</t>
  </si>
  <si>
    <t>7 MAR 2026-RTGS BARBR52026030700823752 BOB LOAN</t>
  </si>
  <si>
    <t>ARUN KUMAR ROY</t>
  </si>
  <si>
    <t>W/O Bucha Rao</t>
  </si>
  <si>
    <t>NSCPS3135M</t>
  </si>
  <si>
    <t>5815 0418 1621</t>
  </si>
  <si>
    <t xml:space="preserve">S/OANIL KUMAR MATHUR </t>
  </si>
  <si>
    <t>D/O RADHAKRISHNAN</t>
  </si>
  <si>
    <t>A- 526, AASHRAY VIDHYUT NAGAR ,AJIMER ROAD, JAIPUR, RAJ</t>
  </si>
  <si>
    <t xml:space="preserve"> CQIPM2165A</t>
  </si>
  <si>
    <t>C/O AMARESH CHANDRA ROY</t>
  </si>
  <si>
    <t>SANNATAMMANAHALLI, KATTAMANALLUR, SLV CASTLE MINE D208, 2ND FLOOR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</si>
</sst>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 #,##0.00_ ;_ * \-#,##0.00_ ;_ * &quot;-&quot;??_ ;_ @_ "/>
    <numFmt numFmtId="164" formatCode="_(* #,##0.00_);_(* \(#,##0.00\);_(* &quot;-&quot;??_);_(@_)"/>
    <numFmt numFmtId="165" formatCode="[$-409]mmm/yy;@"/>
    <numFmt numFmtId="166" formatCode="_(* #,##0.00_);_(* \(#,##0.00\);_(* \-??_);_(@_)"/>
    <numFmt numFmtId="167" formatCode="@\ * \:"/>
    <numFmt numFmtId="168" formatCode="_ * #,##0_ ;_ * \-#,##0_ ;_ * &quot;-&quot;??_ ;_ @_ "/>
    <numFmt numFmtId="169" formatCode="_(* #,##0_);_(* \(#,##0\);_(* &quot;-&quot;??_);_(@_)"/>
    <numFmt numFmtId="170" formatCode="&quot;₹&quot;\ #,##0"/>
    <numFmt numFmtId="171" formatCode="[$-409]d/mmm/yy;@"/>
    <numFmt numFmtId="172" formatCode="[$-14009]dd\-mm\-yyyy;@"/>
    <numFmt numFmtId="173" formatCode="[$-14009]dd/mm/yyyy;@"/>
  </numFmts>
  <fonts count="41">
    <font>
      <sz val="11"/>
      <color theme="1"/>
      <name val="Calibri"/>
      <charset val="134"/>
      <scheme val="minor"/>
    </font>
    <font>
      <sz val="10"/>
      <name val="Arial"/>
      <family val="2"/>
    </font>
    <font>
      <sz val="11"/>
      <color theme="1"/>
      <name val="Calibri"/>
      <family val="2"/>
      <scheme val="minor"/>
    </font>
    <font>
      <sz val="10"/>
      <color rgb="FF000000"/>
      <name val="Times New Roman"/>
      <family val="1"/>
    </font>
    <font>
      <sz val="11"/>
      <color theme="1"/>
      <name val="Cambria"/>
      <family val="1"/>
    </font>
    <font>
      <b/>
      <sz val="11"/>
      <color theme="1"/>
      <name val="Cambria"/>
      <family val="1"/>
    </font>
    <font>
      <u/>
      <sz val="11"/>
      <color theme="10"/>
      <name val="Calibri"/>
      <family val="2"/>
      <scheme val="minor"/>
    </font>
    <font>
      <sz val="12"/>
      <color theme="0"/>
      <name val="Cambria"/>
      <family val="1"/>
    </font>
    <font>
      <sz val="12"/>
      <color theme="1"/>
      <name val="Cambria"/>
      <family val="1"/>
    </font>
    <font>
      <b/>
      <sz val="12"/>
      <color theme="0"/>
      <name val="Cambria"/>
      <family val="1"/>
    </font>
    <font>
      <b/>
      <sz val="12"/>
      <name val="Cambria"/>
      <family val="1"/>
    </font>
    <font>
      <sz val="12"/>
      <name val="Cambria"/>
      <family val="1"/>
    </font>
    <font>
      <sz val="11"/>
      <name val="Cambria"/>
      <family val="1"/>
    </font>
    <font>
      <sz val="11"/>
      <name val="Calibri"/>
      <family val="2"/>
      <scheme val="minor"/>
    </font>
    <font>
      <b/>
      <sz val="12"/>
      <color rgb="FF002060"/>
      <name val="Cambria"/>
      <family val="1"/>
    </font>
    <font>
      <b/>
      <sz val="12"/>
      <color theme="3" tint="-0.499984740745262"/>
      <name val="Cambria"/>
      <family val="1"/>
    </font>
    <font>
      <sz val="12"/>
      <color theme="3" tint="-0.499984740745262"/>
      <name val="Cambria"/>
      <family val="1"/>
    </font>
    <font>
      <sz val="12"/>
      <color rgb="FF002060"/>
      <name val="Cambria"/>
      <family val="1"/>
    </font>
    <font>
      <b/>
      <vertAlign val="superscript"/>
      <sz val="12"/>
      <color rgb="FF002060"/>
      <name val="Cambria"/>
      <family val="1"/>
    </font>
    <font>
      <b/>
      <sz val="14"/>
      <color theme="0"/>
      <name val="Cambria"/>
      <family val="1"/>
    </font>
    <font>
      <b/>
      <sz val="12"/>
      <color theme="8" tint="-0.499984740745262"/>
      <name val="Cambria"/>
      <family val="1"/>
    </font>
    <font>
      <sz val="12"/>
      <color theme="8" tint="-0.499984740745262"/>
      <name val="Cambria"/>
      <family val="1"/>
    </font>
    <font>
      <b/>
      <sz val="14"/>
      <color rgb="FF002060"/>
      <name val="Cambria"/>
      <family val="1"/>
    </font>
    <font>
      <b/>
      <sz val="14"/>
      <color theme="1"/>
      <name val="Cambria"/>
      <family val="1"/>
    </font>
    <font>
      <sz val="14"/>
      <color theme="1"/>
      <name val="Cambria"/>
      <family val="1"/>
    </font>
    <font>
      <u/>
      <sz val="11"/>
      <color theme="10"/>
      <name val="Cambria"/>
      <family val="1"/>
    </font>
    <font>
      <b/>
      <u/>
      <sz val="11"/>
      <color theme="10"/>
      <name val="Cambria"/>
      <family val="1"/>
    </font>
    <font>
      <sz val="14"/>
      <name val="Cambria"/>
      <family val="1"/>
    </font>
    <font>
      <sz val="14"/>
      <color rgb="FF002060"/>
      <name val="Cambria"/>
      <family val="1"/>
    </font>
    <font>
      <sz val="14"/>
      <color theme="0"/>
      <name val="Cambria"/>
      <family val="1"/>
    </font>
    <font>
      <sz val="6"/>
      <color rgb="FF002060"/>
      <name val="Cambria"/>
      <family val="1"/>
    </font>
    <font>
      <sz val="11"/>
      <color rgb="FF002060"/>
      <name val="Cambria"/>
      <family val="1"/>
    </font>
    <font>
      <b/>
      <sz val="12"/>
      <color theme="1"/>
      <name val="Cambria"/>
      <family val="1"/>
    </font>
    <font>
      <b/>
      <sz val="11"/>
      <color theme="0"/>
      <name val="Cambria"/>
      <family val="1"/>
    </font>
    <font>
      <sz val="8"/>
      <name val="Calibri"/>
      <family val="2"/>
      <scheme val="minor"/>
    </font>
    <font>
      <sz val="8"/>
      <name val="Calibri"/>
      <family val="2"/>
      <scheme val="minor"/>
    </font>
    <font>
      <sz val="10"/>
      <color theme="1"/>
      <name val="Cambria"/>
      <family val="1"/>
    </font>
    <font>
      <sz val="9"/>
      <color indexed="81"/>
      <name val="Tahoma"/>
      <family val="2"/>
    </font>
    <font>
      <b/>
      <sz val="9"/>
      <color indexed="81"/>
      <name val="Tahoma"/>
      <family val="2"/>
    </font>
    <font>
      <sz val="9"/>
      <color indexed="81"/>
      <name val="Tahoma"/>
      <charset val="1"/>
    </font>
    <font>
      <b/>
      <sz val="9"/>
      <color indexed="81"/>
      <name val="Tahoma"/>
      <charset val="1"/>
    </font>
  </fonts>
  <fills count="16">
    <fill>
      <patternFill patternType="none"/>
    </fill>
    <fill>
      <patternFill patternType="gray125"/>
    </fill>
    <fill>
      <patternFill patternType="solid">
        <fgColor theme="4" tint="0.59999389629810485"/>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002060"/>
        <bgColor indexed="64"/>
      </patternFill>
    </fill>
    <fill>
      <patternFill patternType="solid">
        <fgColor rgb="FF0070C0"/>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rgb="FFFFFF00"/>
        <bgColor indexed="64"/>
      </patternFill>
    </fill>
    <fill>
      <patternFill patternType="solid">
        <fgColor theme="7" tint="0.59999389629810485"/>
        <bgColor indexed="64"/>
      </patternFill>
    </fill>
    <fill>
      <patternFill patternType="solid">
        <fgColor rgb="FF00B0F0"/>
        <bgColor indexed="64"/>
      </patternFill>
    </fill>
    <fill>
      <patternFill patternType="solid">
        <fgColor theme="5" tint="0.39997558519241921"/>
        <bgColor indexed="64"/>
      </patternFill>
    </fill>
  </fills>
  <borders count="50">
    <border>
      <left/>
      <right/>
      <top/>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8" tint="-0.499984740745262"/>
      </left>
      <right/>
      <top/>
      <bottom/>
      <diagonal/>
    </border>
    <border>
      <left style="thin">
        <color theme="8" tint="-0.499984740745262"/>
      </left>
      <right/>
      <top/>
      <bottom style="thin">
        <color theme="8" tint="-0.499984740745262"/>
      </bottom>
      <diagonal/>
    </border>
    <border>
      <left style="thin">
        <color theme="8" tint="-0.499984740745262"/>
      </left>
      <right/>
      <top/>
      <bottom style="thin">
        <color indexed="64"/>
      </bottom>
      <diagonal/>
    </border>
    <border>
      <left/>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right/>
      <top/>
      <bottom style="dotted">
        <color indexed="64"/>
      </bottom>
      <diagonal/>
    </border>
    <border>
      <left/>
      <right/>
      <top style="dotted">
        <color indexed="64"/>
      </top>
      <bottom/>
      <diagonal/>
    </border>
    <border>
      <left/>
      <right/>
      <top style="dotted">
        <color indexed="64"/>
      </top>
      <bottom style="dott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dotted">
        <color indexed="64"/>
      </bottom>
      <diagonal/>
    </border>
    <border>
      <left style="medium">
        <color indexed="64"/>
      </left>
      <right/>
      <top/>
      <bottom style="medium">
        <color indexed="64"/>
      </bottom>
      <diagonal/>
    </border>
    <border>
      <left/>
      <right/>
      <top/>
      <bottom style="medium">
        <color indexed="64"/>
      </bottom>
      <diagonal/>
    </border>
    <border>
      <left/>
      <right/>
      <top style="dotted">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auto="1"/>
      </left>
      <right style="medium">
        <color indexed="64"/>
      </right>
      <top style="thin">
        <color auto="1"/>
      </top>
      <bottom style="thin">
        <color auto="1"/>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dotted">
        <color indexed="64"/>
      </bottom>
      <diagonal/>
    </border>
    <border>
      <left style="medium">
        <color indexed="64"/>
      </left>
      <right/>
      <top style="dotted">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165" fontId="2" fillId="0" borderId="0" applyFont="0" applyFill="0" applyBorder="0" applyAlignment="0" applyProtection="0"/>
    <xf numFmtId="43" fontId="2" fillId="0" borderId="0" applyFont="0" applyFill="0" applyBorder="0" applyAlignment="0" applyProtection="0"/>
    <xf numFmtId="166" fontId="1" fillId="0" borderId="0" applyFill="0" applyAlignment="0" applyProtection="0"/>
    <xf numFmtId="0" fontId="1" fillId="0" borderId="0"/>
    <xf numFmtId="0" fontId="3" fillId="0" borderId="0"/>
    <xf numFmtId="0" fontId="6" fillId="0" borderId="0" applyNumberFormat="0" applyFill="0" applyBorder="0" applyAlignment="0" applyProtection="0"/>
    <xf numFmtId="43" fontId="2" fillId="0" borderId="0" applyFont="0" applyFill="0" applyBorder="0" applyAlignment="0" applyProtection="0"/>
  </cellStyleXfs>
  <cellXfs count="321">
    <xf numFmtId="0" fontId="0" fillId="0" borderId="0" xfId="0"/>
    <xf numFmtId="0" fontId="4" fillId="0" borderId="1" xfId="0" applyFont="1" applyBorder="1"/>
    <xf numFmtId="0" fontId="5" fillId="2" borderId="1" xfId="0" applyFont="1" applyFill="1" applyBorder="1" applyAlignment="1">
      <alignment horizontal="center" vertical="center" wrapText="1"/>
    </xf>
    <xf numFmtId="164" fontId="5" fillId="2" borderId="1" xfId="1" applyFont="1" applyFill="1" applyBorder="1" applyAlignment="1">
      <alignment horizontal="center" vertical="center" wrapText="1"/>
    </xf>
    <xf numFmtId="0" fontId="4" fillId="0" borderId="0" xfId="0" applyFont="1"/>
    <xf numFmtId="9" fontId="5" fillId="2" borderId="1" xfId="1" applyNumberFormat="1" applyFont="1" applyFill="1" applyBorder="1" applyAlignment="1">
      <alignment horizontal="center" vertical="center" wrapText="1"/>
    </xf>
    <xf numFmtId="0" fontId="11" fillId="0" borderId="0" xfId="0" applyFont="1"/>
    <xf numFmtId="0" fontId="11" fillId="0" borderId="0" xfId="0" applyFont="1" applyAlignment="1">
      <alignment horizontal="right"/>
    </xf>
    <xf numFmtId="0" fontId="11" fillId="0" borderId="0" xfId="0" applyFont="1" applyAlignment="1">
      <alignment horizontal="left"/>
    </xf>
    <xf numFmtId="0" fontId="12" fillId="0" borderId="0" xfId="0" applyFont="1"/>
    <xf numFmtId="3" fontId="12" fillId="0" borderId="0" xfId="0" applyNumberFormat="1" applyFont="1"/>
    <xf numFmtId="0" fontId="13" fillId="0" borderId="0" xfId="0" applyFont="1"/>
    <xf numFmtId="168" fontId="11" fillId="0" borderId="0" xfId="1" applyNumberFormat="1" applyFont="1" applyFill="1" applyBorder="1"/>
    <xf numFmtId="168" fontId="10" fillId="0" borderId="0" xfId="1" applyNumberFormat="1" applyFont="1" applyFill="1" applyBorder="1"/>
    <xf numFmtId="168" fontId="10" fillId="0" borderId="10" xfId="1" applyNumberFormat="1" applyFont="1" applyFill="1" applyBorder="1"/>
    <xf numFmtId="164" fontId="11" fillId="0" borderId="0" xfId="1" applyFont="1" applyFill="1" applyBorder="1"/>
    <xf numFmtId="168" fontId="11" fillId="0" borderId="10" xfId="1" applyNumberFormat="1" applyFont="1" applyFill="1" applyBorder="1"/>
    <xf numFmtId="0" fontId="10" fillId="0" borderId="0" xfId="0" applyFont="1" applyAlignment="1">
      <alignment horizontal="right"/>
    </xf>
    <xf numFmtId="164" fontId="11" fillId="0" borderId="10" xfId="1" applyFont="1" applyFill="1" applyBorder="1"/>
    <xf numFmtId="168" fontId="11" fillId="0" borderId="8" xfId="1" applyNumberFormat="1" applyFont="1" applyFill="1" applyBorder="1"/>
    <xf numFmtId="168" fontId="11" fillId="0" borderId="11" xfId="1" applyNumberFormat="1" applyFont="1" applyFill="1" applyBorder="1"/>
    <xf numFmtId="168" fontId="10" fillId="0" borderId="8" xfId="1" applyNumberFormat="1" applyFont="1" applyFill="1" applyBorder="1"/>
    <xf numFmtId="168" fontId="10" fillId="0" borderId="12" xfId="1" applyNumberFormat="1" applyFont="1" applyFill="1" applyBorder="1"/>
    <xf numFmtId="168" fontId="10" fillId="0" borderId="13" xfId="1" applyNumberFormat="1" applyFont="1" applyFill="1" applyBorder="1" applyAlignment="1">
      <alignment horizontal="center"/>
    </xf>
    <xf numFmtId="168" fontId="11" fillId="0" borderId="0" xfId="1" applyNumberFormat="1" applyFont="1" applyFill="1" applyBorder="1" applyAlignment="1">
      <alignment horizontal="centerContinuous"/>
    </xf>
    <xf numFmtId="4" fontId="5" fillId="3" borderId="1" xfId="0" applyNumberFormat="1" applyFont="1" applyFill="1" applyBorder="1" applyAlignment="1">
      <alignment horizontal="center" vertical="center" wrapText="1"/>
    </xf>
    <xf numFmtId="1" fontId="5" fillId="3" borderId="1" xfId="0" applyNumberFormat="1" applyFont="1" applyFill="1" applyBorder="1" applyAlignment="1">
      <alignment horizontal="center" vertical="center" wrapText="1"/>
    </xf>
    <xf numFmtId="0" fontId="5" fillId="3" borderId="1" xfId="0" applyFont="1" applyFill="1" applyBorder="1" applyAlignment="1">
      <alignment horizontal="center" vertical="center" wrapText="1"/>
    </xf>
    <xf numFmtId="4" fontId="5" fillId="4" borderId="1" xfId="0" applyNumberFormat="1" applyFont="1" applyFill="1" applyBorder="1" applyAlignment="1">
      <alignment horizontal="center" vertical="center" wrapText="1"/>
    </xf>
    <xf numFmtId="1" fontId="5" fillId="4" borderId="1" xfId="0" applyNumberFormat="1" applyFont="1" applyFill="1" applyBorder="1" applyAlignment="1">
      <alignment horizontal="center" vertical="center" wrapText="1"/>
    </xf>
    <xf numFmtId="0" fontId="5" fillId="4" borderId="1" xfId="0" applyFont="1" applyFill="1" applyBorder="1" applyAlignment="1">
      <alignment horizontal="center" vertical="center" wrapText="1"/>
    </xf>
    <xf numFmtId="0" fontId="5" fillId="5" borderId="1" xfId="0" applyFont="1" applyFill="1" applyBorder="1" applyAlignment="1">
      <alignment horizontal="center" vertical="center" wrapText="1"/>
    </xf>
    <xf numFmtId="164" fontId="5" fillId="6" borderId="1" xfId="1" applyFont="1" applyFill="1" applyBorder="1" applyAlignment="1">
      <alignment horizontal="center" vertical="center" wrapText="1"/>
    </xf>
    <xf numFmtId="0" fontId="4" fillId="6" borderId="1" xfId="0" applyFont="1" applyFill="1" applyBorder="1"/>
    <xf numFmtId="0" fontId="8" fillId="0" borderId="18" xfId="0" applyFont="1" applyBorder="1"/>
    <xf numFmtId="0" fontId="22" fillId="0" borderId="22" xfId="7" applyFont="1" applyBorder="1" applyAlignment="1">
      <alignment horizontal="centerContinuous"/>
    </xf>
    <xf numFmtId="0" fontId="23" fillId="0" borderId="22" xfId="0" applyFont="1" applyBorder="1" applyAlignment="1">
      <alignment horizontal="centerContinuous"/>
    </xf>
    <xf numFmtId="0" fontId="14" fillId="0" borderId="0" xfId="0" applyFont="1" applyAlignment="1">
      <alignment horizontal="centerContinuous"/>
    </xf>
    <xf numFmtId="0" fontId="19" fillId="0" borderId="0" xfId="0" applyFont="1" applyAlignment="1">
      <alignment horizontal="centerContinuous"/>
    </xf>
    <xf numFmtId="0" fontId="19" fillId="0" borderId="0" xfId="0" applyFont="1" applyAlignment="1">
      <alignment horizontal="center"/>
    </xf>
    <xf numFmtId="0" fontId="8" fillId="0" borderId="20" xfId="0" applyFont="1" applyBorder="1" applyAlignment="1">
      <alignment vertical="top"/>
    </xf>
    <xf numFmtId="0" fontId="8" fillId="0" borderId="26" xfId="0" applyFont="1" applyBorder="1" applyAlignment="1">
      <alignment vertical="top" wrapText="1"/>
    </xf>
    <xf numFmtId="0" fontId="24" fillId="0" borderId="0" xfId="0" applyFont="1"/>
    <xf numFmtId="0" fontId="24" fillId="0" borderId="0" xfId="0" applyFont="1" applyAlignment="1">
      <alignment horizontal="left"/>
    </xf>
    <xf numFmtId="0" fontId="24" fillId="0" borderId="21" xfId="0" applyFont="1" applyBorder="1"/>
    <xf numFmtId="0" fontId="24" fillId="0" borderId="22" xfId="0" applyFont="1" applyBorder="1"/>
    <xf numFmtId="0" fontId="24" fillId="0" borderId="22" xfId="0" applyFont="1" applyBorder="1" applyAlignment="1">
      <alignment horizontal="centerContinuous"/>
    </xf>
    <xf numFmtId="0" fontId="24" fillId="0" borderId="23" xfId="0" applyFont="1" applyBorder="1"/>
    <xf numFmtId="0" fontId="24" fillId="0" borderId="24" xfId="0" applyFont="1" applyBorder="1"/>
    <xf numFmtId="0" fontId="17" fillId="0" borderId="0" xfId="0" applyFont="1" applyAlignment="1">
      <alignment horizontal="centerContinuous"/>
    </xf>
    <xf numFmtId="0" fontId="24" fillId="0" borderId="0" xfId="0" applyFont="1" applyAlignment="1">
      <alignment horizontal="centerContinuous"/>
    </xf>
    <xf numFmtId="0" fontId="24" fillId="0" borderId="25" xfId="0" applyFont="1" applyBorder="1"/>
    <xf numFmtId="0" fontId="25" fillId="0" borderId="0" xfId="7" applyFont="1" applyBorder="1" applyAlignment="1">
      <alignment horizontal="centerContinuous"/>
    </xf>
    <xf numFmtId="0" fontId="26" fillId="0" borderId="0" xfId="7" applyFont="1" applyBorder="1" applyAlignment="1">
      <alignment horizontal="centerContinuous"/>
    </xf>
    <xf numFmtId="0" fontId="27" fillId="0" borderId="0" xfId="0" applyFont="1"/>
    <xf numFmtId="167" fontId="28" fillId="0" borderId="0" xfId="0" applyNumberFormat="1" applyFont="1"/>
    <xf numFmtId="0" fontId="29" fillId="0" borderId="0" xfId="0" applyFont="1" applyAlignment="1">
      <alignment horizontal="centerContinuous"/>
    </xf>
    <xf numFmtId="0" fontId="24" fillId="0" borderId="19" xfId="0" applyFont="1" applyBorder="1"/>
    <xf numFmtId="0" fontId="28" fillId="0" borderId="0" xfId="0" applyFont="1"/>
    <xf numFmtId="0" fontId="4" fillId="0" borderId="18" xfId="0" applyFont="1" applyBorder="1" applyAlignment="1">
      <alignment wrapText="1"/>
    </xf>
    <xf numFmtId="0" fontId="28" fillId="0" borderId="0" xfId="0" applyFont="1" applyAlignment="1">
      <alignment vertical="top"/>
    </xf>
    <xf numFmtId="0" fontId="17" fillId="0" borderId="19" xfId="0" applyFont="1" applyBorder="1" applyAlignment="1">
      <alignment vertical="top"/>
    </xf>
    <xf numFmtId="0" fontId="4" fillId="0" borderId="18" xfId="0" applyFont="1" applyBorder="1"/>
    <xf numFmtId="0" fontId="4" fillId="0" borderId="20" xfId="0" applyFont="1" applyBorder="1"/>
    <xf numFmtId="170" fontId="24" fillId="0" borderId="0" xfId="0" applyNumberFormat="1" applyFont="1"/>
    <xf numFmtId="0" fontId="24" fillId="0" borderId="27" xfId="0" applyFont="1" applyBorder="1"/>
    <xf numFmtId="167" fontId="24" fillId="0" borderId="28" xfId="0" applyNumberFormat="1" applyFont="1" applyBorder="1" applyAlignment="1">
      <alignment horizontal="left"/>
    </xf>
    <xf numFmtId="0" fontId="24" fillId="0" borderId="29" xfId="0" applyFont="1" applyBorder="1" applyAlignment="1">
      <alignment horizontal="left"/>
    </xf>
    <xf numFmtId="0" fontId="24" fillId="0" borderId="28" xfId="0" applyFont="1" applyBorder="1"/>
    <xf numFmtId="0" fontId="24" fillId="0" borderId="30" xfId="0" applyFont="1" applyBorder="1"/>
    <xf numFmtId="170" fontId="27" fillId="0" borderId="32" xfId="0" applyNumberFormat="1" applyFont="1" applyBorder="1"/>
    <xf numFmtId="3" fontId="24" fillId="0" borderId="0" xfId="0" applyNumberFormat="1" applyFont="1"/>
    <xf numFmtId="0" fontId="31" fillId="0" borderId="0" xfId="0" applyFont="1" applyAlignment="1">
      <alignment horizontal="centerContinuous" vertical="top"/>
    </xf>
    <xf numFmtId="0" fontId="24" fillId="0" borderId="0" xfId="0" applyFont="1" applyAlignment="1">
      <alignment horizontal="centerContinuous" vertical="center"/>
    </xf>
    <xf numFmtId="14" fontId="24" fillId="0" borderId="19" xfId="0" applyNumberFormat="1" applyFont="1" applyBorder="1"/>
    <xf numFmtId="0" fontId="28" fillId="0" borderId="18" xfId="0" applyFont="1" applyBorder="1" applyAlignment="1">
      <alignment vertical="top"/>
    </xf>
    <xf numFmtId="0" fontId="4" fillId="0" borderId="20" xfId="0" applyFont="1" applyBorder="1" applyAlignment="1">
      <alignment horizontal="left"/>
    </xf>
    <xf numFmtId="0" fontId="30" fillId="0" borderId="0" xfId="0" applyFont="1" applyAlignment="1">
      <alignment vertical="top"/>
    </xf>
    <xf numFmtId="170" fontId="27" fillId="0" borderId="0" xfId="0" applyNumberFormat="1" applyFont="1"/>
    <xf numFmtId="0" fontId="19" fillId="7" borderId="15" xfId="0" applyFont="1" applyFill="1" applyBorder="1"/>
    <xf numFmtId="0" fontId="9" fillId="8" borderId="3" xfId="0" applyFont="1" applyFill="1" applyBorder="1"/>
    <xf numFmtId="0" fontId="8" fillId="0" borderId="0" xfId="0" applyFont="1"/>
    <xf numFmtId="167" fontId="14" fillId="0" borderId="33" xfId="0" applyNumberFormat="1" applyFont="1" applyBorder="1"/>
    <xf numFmtId="0" fontId="16" fillId="0" borderId="8" xfId="0" applyFont="1" applyBorder="1"/>
    <xf numFmtId="0" fontId="14" fillId="0" borderId="19" xfId="0" applyFont="1" applyBorder="1"/>
    <xf numFmtId="0" fontId="8" fillId="0" borderId="20" xfId="0" applyFont="1" applyBorder="1" applyAlignment="1">
      <alignment horizontal="left" indent="1"/>
    </xf>
    <xf numFmtId="167" fontId="14" fillId="0" borderId="19" xfId="0" applyNumberFormat="1" applyFont="1" applyBorder="1" applyAlignment="1">
      <alignment horizontal="left" indent="1"/>
    </xf>
    <xf numFmtId="0" fontId="16" fillId="0" borderId="19" xfId="0" applyFont="1" applyBorder="1"/>
    <xf numFmtId="0" fontId="23" fillId="7" borderId="15" xfId="0" applyFont="1" applyFill="1" applyBorder="1" applyAlignment="1">
      <alignment horizontal="centerContinuous"/>
    </xf>
    <xf numFmtId="0" fontId="4" fillId="7" borderId="15" xfId="0" applyFont="1" applyFill="1" applyBorder="1" applyAlignment="1">
      <alignment horizontal="centerContinuous"/>
    </xf>
    <xf numFmtId="168" fontId="9" fillId="7" borderId="1" xfId="1" applyNumberFormat="1" applyFont="1" applyFill="1" applyBorder="1" applyAlignment="1">
      <alignment horizontal="center" vertical="center"/>
    </xf>
    <xf numFmtId="0" fontId="7" fillId="7" borderId="15" xfId="5" applyFont="1" applyFill="1" applyBorder="1" applyAlignment="1">
      <alignment horizontal="centerContinuous" vertical="center"/>
    </xf>
    <xf numFmtId="0" fontId="7" fillId="7" borderId="16" xfId="5" applyFont="1" applyFill="1" applyBorder="1" applyAlignment="1">
      <alignment horizontal="centerContinuous" vertical="center"/>
    </xf>
    <xf numFmtId="0" fontId="9" fillId="9" borderId="4" xfId="5" applyFont="1" applyFill="1" applyBorder="1"/>
    <xf numFmtId="0" fontId="9" fillId="9" borderId="5" xfId="5" applyFont="1" applyFill="1" applyBorder="1"/>
    <xf numFmtId="0" fontId="9" fillId="9" borderId="5" xfId="5" applyFont="1" applyFill="1" applyBorder="1" applyAlignment="1">
      <alignment horizontal="right"/>
    </xf>
    <xf numFmtId="168" fontId="9" fillId="9" borderId="5" xfId="1" applyNumberFormat="1" applyFont="1" applyFill="1" applyBorder="1" applyAlignment="1"/>
    <xf numFmtId="168" fontId="9" fillId="9" borderId="2" xfId="1" applyNumberFormat="1" applyFont="1" applyFill="1" applyBorder="1" applyAlignment="1"/>
    <xf numFmtId="0" fontId="9" fillId="9" borderId="3" xfId="5" applyFont="1" applyFill="1" applyBorder="1"/>
    <xf numFmtId="0" fontId="9" fillId="9" borderId="0" xfId="5" applyFont="1" applyFill="1"/>
    <xf numFmtId="0" fontId="9" fillId="9" borderId="0" xfId="5" applyFont="1" applyFill="1" applyAlignment="1">
      <alignment horizontal="right"/>
    </xf>
    <xf numFmtId="168" fontId="9" fillId="9" borderId="0" xfId="1" applyNumberFormat="1" applyFont="1" applyFill="1" applyBorder="1" applyAlignment="1">
      <alignment horizontal="right"/>
    </xf>
    <xf numFmtId="0" fontId="7" fillId="9" borderId="3" xfId="5" applyFont="1" applyFill="1" applyBorder="1"/>
    <xf numFmtId="0" fontId="7" fillId="9" borderId="0" xfId="5" applyFont="1" applyFill="1"/>
    <xf numFmtId="0" fontId="9" fillId="9" borderId="6" xfId="5" applyFont="1" applyFill="1" applyBorder="1"/>
    <xf numFmtId="0" fontId="7" fillId="9" borderId="7" xfId="5" applyFont="1" applyFill="1" applyBorder="1"/>
    <xf numFmtId="0" fontId="7" fillId="9" borderId="8" xfId="5" applyFont="1" applyFill="1" applyBorder="1"/>
    <xf numFmtId="0" fontId="7" fillId="9" borderId="9" xfId="5" applyFont="1" applyFill="1" applyBorder="1"/>
    <xf numFmtId="0" fontId="7" fillId="9" borderId="14" xfId="5" applyFont="1" applyFill="1" applyBorder="1"/>
    <xf numFmtId="0" fontId="7" fillId="9" borderId="15" xfId="5" applyFont="1" applyFill="1" applyBorder="1"/>
    <xf numFmtId="0" fontId="7" fillId="9" borderId="16" xfId="5" applyFont="1" applyFill="1" applyBorder="1"/>
    <xf numFmtId="0" fontId="9" fillId="9" borderId="1" xfId="7" applyFont="1" applyFill="1" applyBorder="1" applyAlignment="1">
      <alignment horizontal="centerContinuous" vertical="center"/>
    </xf>
    <xf numFmtId="0" fontId="33" fillId="8" borderId="1" xfId="5" applyFont="1" applyFill="1" applyBorder="1"/>
    <xf numFmtId="3" fontId="9" fillId="8" borderId="1" xfId="5" applyNumberFormat="1" applyFont="1" applyFill="1" applyBorder="1"/>
    <xf numFmtId="0" fontId="9" fillId="8" borderId="1" xfId="5" applyFont="1" applyFill="1" applyBorder="1"/>
    <xf numFmtId="168" fontId="9" fillId="8" borderId="1" xfId="1" applyNumberFormat="1" applyFont="1" applyFill="1" applyBorder="1"/>
    <xf numFmtId="167" fontId="9" fillId="8" borderId="1" xfId="5" applyNumberFormat="1" applyFont="1" applyFill="1" applyBorder="1"/>
    <xf numFmtId="49" fontId="9" fillId="8" borderId="1" xfId="5" applyNumberFormat="1" applyFont="1" applyFill="1" applyBorder="1" applyAlignment="1">
      <alignment horizontal="left"/>
    </xf>
    <xf numFmtId="0" fontId="9" fillId="8" borderId="0" xfId="0" applyFont="1" applyFill="1"/>
    <xf numFmtId="167" fontId="9" fillId="8" borderId="0" xfId="0" applyNumberFormat="1" applyFont="1" applyFill="1"/>
    <xf numFmtId="0" fontId="9" fillId="8" borderId="1" xfId="1" applyNumberFormat="1" applyFont="1" applyFill="1" applyBorder="1" applyAlignment="1">
      <alignment horizontal="left"/>
    </xf>
    <xf numFmtId="0" fontId="9" fillId="8" borderId="7" xfId="0" applyFont="1" applyFill="1" applyBorder="1"/>
    <xf numFmtId="167" fontId="9" fillId="8" borderId="8" xfId="0" applyNumberFormat="1" applyFont="1" applyFill="1" applyBorder="1"/>
    <xf numFmtId="3" fontId="9" fillId="8" borderId="1" xfId="1" applyNumberFormat="1" applyFont="1" applyFill="1" applyBorder="1" applyAlignment="1">
      <alignment horizontal="left"/>
    </xf>
    <xf numFmtId="0" fontId="9" fillId="8" borderId="4" xfId="0" applyFont="1" applyFill="1" applyBorder="1"/>
    <xf numFmtId="167" fontId="9" fillId="8" borderId="5" xfId="0" applyNumberFormat="1" applyFont="1" applyFill="1" applyBorder="1"/>
    <xf numFmtId="3" fontId="9" fillId="8" borderId="1" xfId="5" applyNumberFormat="1" applyFont="1" applyFill="1" applyBorder="1" applyAlignment="1">
      <alignment horizontal="left"/>
    </xf>
    <xf numFmtId="0" fontId="9" fillId="8" borderId="14" xfId="0" applyFont="1" applyFill="1" applyBorder="1"/>
    <xf numFmtId="167" fontId="9" fillId="8" borderId="15" xfId="0" applyNumberFormat="1" applyFont="1" applyFill="1" applyBorder="1"/>
    <xf numFmtId="164" fontId="9" fillId="8" borderId="34" xfId="1" applyFont="1" applyFill="1" applyBorder="1"/>
    <xf numFmtId="164" fontId="9" fillId="8" borderId="33" xfId="1" applyFont="1" applyFill="1" applyBorder="1"/>
    <xf numFmtId="164" fontId="9" fillId="8" borderId="1" xfId="1" applyFont="1" applyFill="1" applyBorder="1"/>
    <xf numFmtId="173" fontId="5" fillId="2" borderId="1" xfId="1" applyNumberFormat="1" applyFont="1" applyFill="1" applyBorder="1" applyAlignment="1">
      <alignment horizontal="center" vertical="center" wrapText="1"/>
    </xf>
    <xf numFmtId="169" fontId="5" fillId="6" borderId="1" xfId="1" applyNumberFormat="1" applyFont="1" applyFill="1" applyBorder="1" applyAlignment="1">
      <alignment horizontal="center" vertical="center" wrapText="1"/>
    </xf>
    <xf numFmtId="0" fontId="5" fillId="2" borderId="1" xfId="1" applyNumberFormat="1" applyFont="1" applyFill="1" applyBorder="1" applyAlignment="1">
      <alignment horizontal="center" vertical="center" wrapText="1"/>
    </xf>
    <xf numFmtId="0" fontId="16" fillId="0" borderId="21" xfId="0" applyFont="1" applyBorder="1"/>
    <xf numFmtId="0" fontId="16" fillId="0" borderId="22" xfId="0" applyFont="1" applyBorder="1"/>
    <xf numFmtId="167" fontId="14" fillId="0" borderId="35" xfId="0" applyNumberFormat="1" applyFont="1" applyBorder="1"/>
    <xf numFmtId="0" fontId="16" fillId="0" borderId="24" xfId="0" applyFont="1" applyBorder="1"/>
    <xf numFmtId="0" fontId="16" fillId="0" borderId="39" xfId="0" applyFont="1" applyBorder="1"/>
    <xf numFmtId="167" fontId="14" fillId="0" borderId="24" xfId="0" applyNumberFormat="1" applyFont="1" applyBorder="1" applyAlignment="1">
      <alignment horizontal="left" indent="1"/>
    </xf>
    <xf numFmtId="0" fontId="14" fillId="0" borderId="24" xfId="0" applyFont="1" applyBorder="1" applyAlignment="1">
      <alignment horizontal="left" indent="1"/>
    </xf>
    <xf numFmtId="0" fontId="8" fillId="0" borderId="24" xfId="0" applyFont="1" applyBorder="1"/>
    <xf numFmtId="0" fontId="15" fillId="0" borderId="24" xfId="0" applyFont="1" applyBorder="1"/>
    <xf numFmtId="0" fontId="16" fillId="0" borderId="42" xfId="0" applyFont="1" applyBorder="1"/>
    <xf numFmtId="0" fontId="8" fillId="0" borderId="24" xfId="0" applyFont="1" applyBorder="1" applyAlignment="1">
      <alignment vertical="top" wrapText="1"/>
    </xf>
    <xf numFmtId="171" fontId="8" fillId="0" borderId="41" xfId="0" applyNumberFormat="1" applyFont="1" applyBorder="1" applyAlignment="1">
      <alignment horizontal="left"/>
    </xf>
    <xf numFmtId="0" fontId="19" fillId="7" borderId="43" xfId="0" applyFont="1" applyFill="1" applyBorder="1" applyAlignment="1">
      <alignment horizontal="centerContinuous"/>
    </xf>
    <xf numFmtId="0" fontId="23" fillId="7" borderId="44" xfId="0" applyFont="1" applyFill="1" applyBorder="1" applyAlignment="1">
      <alignment horizontal="centerContinuous"/>
    </xf>
    <xf numFmtId="0" fontId="4" fillId="7" borderId="44" xfId="0" applyFont="1" applyFill="1" applyBorder="1" applyAlignment="1">
      <alignment horizontal="centerContinuous"/>
    </xf>
    <xf numFmtId="0" fontId="9" fillId="7" borderId="43" xfId="0" applyFont="1" applyFill="1" applyBorder="1"/>
    <xf numFmtId="0" fontId="19" fillId="7" borderId="44" xfId="0" applyFont="1" applyFill="1" applyBorder="1"/>
    <xf numFmtId="0" fontId="21" fillId="0" borderId="47" xfId="0" applyFont="1" applyBorder="1" applyAlignment="1">
      <alignment horizontal="centerContinuous"/>
    </xf>
    <xf numFmtId="0" fontId="8" fillId="0" borderId="48" xfId="0" applyFont="1" applyBorder="1" applyAlignment="1">
      <alignment horizontal="centerContinuous"/>
    </xf>
    <xf numFmtId="0" fontId="8" fillId="0" borderId="49" xfId="0" applyFont="1" applyBorder="1" applyAlignment="1">
      <alignment horizontal="centerContinuous"/>
    </xf>
    <xf numFmtId="0" fontId="12" fillId="0" borderId="1" xfId="0" applyFont="1" applyBorder="1" applyAlignment="1">
      <alignment horizontal="center"/>
    </xf>
    <xf numFmtId="168" fontId="4" fillId="0" borderId="1" xfId="1" applyNumberFormat="1" applyFont="1" applyBorder="1" applyAlignment="1">
      <alignment horizontal="center"/>
    </xf>
    <xf numFmtId="1" fontId="4" fillId="0" borderId="1" xfId="0" applyNumberFormat="1" applyFont="1" applyBorder="1" applyAlignment="1">
      <alignment horizontal="center"/>
    </xf>
    <xf numFmtId="43" fontId="4" fillId="0" borderId="1" xfId="0" applyNumberFormat="1" applyFont="1" applyBorder="1"/>
    <xf numFmtId="168" fontId="4" fillId="0" borderId="1" xfId="0" applyNumberFormat="1" applyFont="1" applyBorder="1"/>
    <xf numFmtId="14" fontId="4" fillId="0" borderId="1" xfId="0" applyNumberFormat="1" applyFont="1" applyBorder="1"/>
    <xf numFmtId="0" fontId="4" fillId="3" borderId="1" xfId="0" applyFont="1" applyFill="1" applyBorder="1"/>
    <xf numFmtId="0" fontId="4" fillId="4" borderId="1" xfId="0" applyFont="1" applyFill="1" applyBorder="1"/>
    <xf numFmtId="0" fontId="4" fillId="5" borderId="1" xfId="0" applyFont="1" applyFill="1" applyBorder="1"/>
    <xf numFmtId="3" fontId="9" fillId="9" borderId="6" xfId="1" applyNumberFormat="1" applyFont="1" applyFill="1" applyBorder="1" applyAlignment="1">
      <alignment horizontal="left"/>
    </xf>
    <xf numFmtId="3" fontId="9" fillId="9" borderId="17" xfId="1" applyNumberFormat="1" applyFont="1" applyFill="1" applyBorder="1" applyAlignment="1">
      <alignment horizontal="left"/>
    </xf>
    <xf numFmtId="0" fontId="7" fillId="7" borderId="14" xfId="5" applyFont="1" applyFill="1" applyBorder="1" applyAlignment="1">
      <alignment horizontal="centerContinuous" vertical="center"/>
    </xf>
    <xf numFmtId="169" fontId="4" fillId="0" borderId="1" xfId="1" applyNumberFormat="1" applyFont="1" applyBorder="1"/>
    <xf numFmtId="169" fontId="4" fillId="0" borderId="0" xfId="1" applyNumberFormat="1" applyFont="1"/>
    <xf numFmtId="169" fontId="4" fillId="10" borderId="1" xfId="1" applyNumberFormat="1" applyFont="1" applyFill="1" applyBorder="1"/>
    <xf numFmtId="169" fontId="4" fillId="5" borderId="1" xfId="1" applyNumberFormat="1" applyFont="1" applyFill="1" applyBorder="1"/>
    <xf numFmtId="0" fontId="5" fillId="10" borderId="1" xfId="1" applyNumberFormat="1" applyFont="1" applyFill="1" applyBorder="1" applyAlignment="1">
      <alignment horizontal="center" vertical="center" wrapText="1"/>
    </xf>
    <xf numFmtId="170" fontId="11" fillId="0" borderId="31" xfId="0" applyNumberFormat="1" applyFont="1" applyBorder="1"/>
    <xf numFmtId="0" fontId="11" fillId="0" borderId="18" xfId="0" applyFont="1" applyBorder="1"/>
    <xf numFmtId="172" fontId="11" fillId="0" borderId="0" xfId="0" applyNumberFormat="1" applyFont="1" applyAlignment="1">
      <alignment horizontal="left"/>
    </xf>
    <xf numFmtId="0" fontId="10" fillId="0" borderId="36" xfId="0" applyFont="1" applyBorder="1"/>
    <xf numFmtId="0" fontId="15" fillId="0" borderId="37" xfId="0" applyFont="1" applyBorder="1" applyAlignment="1">
      <alignment horizontal="left"/>
    </xf>
    <xf numFmtId="0" fontId="15" fillId="0" borderId="38" xfId="0" applyFont="1" applyBorder="1" applyAlignment="1">
      <alignment horizontal="left"/>
    </xf>
    <xf numFmtId="14" fontId="4" fillId="5" borderId="1" xfId="0" applyNumberFormat="1" applyFont="1" applyFill="1" applyBorder="1"/>
    <xf numFmtId="14" fontId="4" fillId="6" borderId="1" xfId="0" applyNumberFormat="1" applyFont="1" applyFill="1" applyBorder="1"/>
    <xf numFmtId="0" fontId="16" fillId="0" borderId="0" xfId="0" applyFont="1"/>
    <xf numFmtId="0" fontId="15" fillId="0" borderId="0" xfId="0" applyFont="1"/>
    <xf numFmtId="0" fontId="14" fillId="0" borderId="0" xfId="0" applyFont="1"/>
    <xf numFmtId="3" fontId="11" fillId="0" borderId="19" xfId="1" applyNumberFormat="1" applyFont="1" applyFill="1" applyBorder="1" applyAlignment="1">
      <alignment horizontal="left"/>
    </xf>
    <xf numFmtId="171" fontId="32" fillId="0" borderId="38" xfId="0" applyNumberFormat="1" applyFont="1" applyBorder="1" applyAlignment="1">
      <alignment horizontal="left"/>
    </xf>
    <xf numFmtId="0" fontId="8" fillId="0" borderId="0" xfId="0" applyFont="1" applyAlignment="1">
      <alignment horizontal="left"/>
    </xf>
    <xf numFmtId="0" fontId="11" fillId="0" borderId="45" xfId="0" applyFont="1" applyBorder="1" applyAlignment="1">
      <alignment horizontal="left" indent="1"/>
    </xf>
    <xf numFmtId="0" fontId="24" fillId="0" borderId="28" xfId="0" applyFont="1" applyBorder="1" applyAlignment="1">
      <alignment horizontal="left"/>
    </xf>
    <xf numFmtId="14" fontId="4" fillId="0" borderId="19" xfId="0" applyNumberFormat="1" applyFont="1" applyBorder="1"/>
    <xf numFmtId="14" fontId="4" fillId="0" borderId="0" xfId="0" applyNumberFormat="1" applyFont="1"/>
    <xf numFmtId="0" fontId="28" fillId="0" borderId="20" xfId="0" applyFont="1" applyBorder="1" applyAlignment="1">
      <alignment horizontal="left" indent="4"/>
    </xf>
    <xf numFmtId="0" fontId="4" fillId="0" borderId="0" xfId="0" applyFont="1" applyAlignment="1">
      <alignment vertical="top"/>
    </xf>
    <xf numFmtId="0" fontId="8" fillId="10" borderId="0" xfId="0" applyFont="1" applyFill="1"/>
    <xf numFmtId="0" fontId="8" fillId="11" borderId="0" xfId="0" applyFont="1" applyFill="1"/>
    <xf numFmtId="0" fontId="8" fillId="12" borderId="0" xfId="0" applyFont="1" applyFill="1"/>
    <xf numFmtId="0" fontId="8" fillId="13" borderId="0" xfId="0" applyFont="1" applyFill="1"/>
    <xf numFmtId="168" fontId="7" fillId="14" borderId="0" xfId="1" applyNumberFormat="1" applyFont="1" applyFill="1" applyBorder="1"/>
    <xf numFmtId="168" fontId="8" fillId="15" borderId="0" xfId="1" applyNumberFormat="1" applyFont="1" applyFill="1" applyBorder="1"/>
    <xf numFmtId="168" fontId="7" fillId="9" borderId="0" xfId="1" applyNumberFormat="1" applyFont="1" applyFill="1" applyBorder="1"/>
    <xf numFmtId="0" fontId="7" fillId="8" borderId="0" xfId="0" applyFont="1" applyFill="1"/>
    <xf numFmtId="0" fontId="24" fillId="0" borderId="20" xfId="0" applyFont="1" applyBorder="1"/>
    <xf numFmtId="49" fontId="4" fillId="0" borderId="0" xfId="0" applyNumberFormat="1" applyFont="1"/>
    <xf numFmtId="0" fontId="5" fillId="0" borderId="0" xfId="0" applyFont="1" applyAlignment="1">
      <alignment horizontal="center" vertical="center"/>
    </xf>
    <xf numFmtId="49" fontId="5" fillId="0" borderId="0" xfId="0" applyNumberFormat="1" applyFont="1" applyAlignment="1">
      <alignment horizontal="center" vertical="center"/>
    </xf>
    <xf numFmtId="169" fontId="5" fillId="0" borderId="0" xfId="1" applyNumberFormat="1" applyFont="1" applyAlignment="1">
      <alignment horizontal="center" vertical="center"/>
    </xf>
    <xf numFmtId="167" fontId="14" fillId="0" borderId="0" xfId="0" applyNumberFormat="1" applyFont="1" applyAlignment="1">
      <alignment horizontal="left" indent="1"/>
    </xf>
    <xf numFmtId="0" fontId="9" fillId="8" borderId="1" xfId="5" applyFont="1" applyFill="1" applyBorder="1" applyAlignment="1">
      <alignment horizontal="left"/>
    </xf>
    <xf numFmtId="1" fontId="9" fillId="8" borderId="1" xfId="5" applyNumberFormat="1" applyFont="1" applyFill="1" applyBorder="1" applyAlignment="1">
      <alignment horizontal="left"/>
    </xf>
    <xf numFmtId="0" fontId="11" fillId="0" borderId="18" xfId="0" applyFont="1" applyBorder="1" applyAlignment="1">
      <alignment horizontal="left"/>
    </xf>
    <xf numFmtId="0" fontId="22" fillId="0" borderId="22" xfId="7" applyFont="1" applyBorder="1" applyAlignment="1">
      <alignment horizontal="left"/>
    </xf>
    <xf numFmtId="0" fontId="17" fillId="0" borderId="0" xfId="0" applyFont="1" applyAlignment="1">
      <alignment horizontal="left" indent="6"/>
    </xf>
    <xf numFmtId="0" fontId="17" fillId="0" borderId="0" xfId="0" applyFont="1" applyAlignment="1">
      <alignment horizontal="left" indent="11"/>
    </xf>
    <xf numFmtId="0" fontId="14" fillId="0" borderId="0" xfId="0" applyFont="1" applyAlignment="1">
      <alignment horizontal="left" indent="11"/>
    </xf>
    <xf numFmtId="49" fontId="4" fillId="3" borderId="1" xfId="0" applyNumberFormat="1" applyFont="1" applyFill="1" applyBorder="1"/>
    <xf numFmtId="168" fontId="9" fillId="8" borderId="1" xfId="3" applyNumberFormat="1" applyFont="1" applyFill="1" applyBorder="1"/>
    <xf numFmtId="49" fontId="4" fillId="0" borderId="1" xfId="0" applyNumberFormat="1" applyFont="1" applyBorder="1" applyAlignment="1">
      <alignment horizontal="center"/>
    </xf>
    <xf numFmtId="0" fontId="4" fillId="0" borderId="1" xfId="0" applyFont="1" applyBorder="1" applyAlignment="1">
      <alignment horizontal="center"/>
    </xf>
    <xf numFmtId="168" fontId="4" fillId="0" borderId="1" xfId="1" applyNumberFormat="1" applyFont="1" applyFill="1" applyBorder="1" applyAlignment="1">
      <alignment horizontal="center"/>
    </xf>
    <xf numFmtId="169" fontId="4" fillId="0" borderId="1" xfId="1" applyNumberFormat="1" applyFont="1" applyFill="1" applyBorder="1"/>
    <xf numFmtId="0" fontId="32" fillId="0" borderId="0" xfId="0" applyFont="1"/>
    <xf numFmtId="169" fontId="32" fillId="0" borderId="0" xfId="1" applyNumberFormat="1" applyFont="1"/>
    <xf numFmtId="169" fontId="8" fillId="0" borderId="0" xfId="1" applyNumberFormat="1" applyFont="1"/>
    <xf numFmtId="0" fontId="6" fillId="0" borderId="1" xfId="7" applyBorder="1"/>
    <xf numFmtId="0" fontId="6" fillId="3" borderId="1" xfId="7" applyFill="1" applyBorder="1"/>
    <xf numFmtId="0" fontId="6" fillId="4" borderId="1" xfId="7" applyFill="1" applyBorder="1"/>
    <xf numFmtId="0" fontId="6" fillId="3" borderId="1" xfId="7" applyFill="1" applyBorder="1" applyAlignment="1"/>
    <xf numFmtId="169" fontId="8" fillId="0" borderId="0" xfId="0" applyNumberFormat="1" applyFont="1"/>
    <xf numFmtId="0" fontId="36" fillId="0" borderId="0" xfId="0" applyFont="1"/>
    <xf numFmtId="0" fontId="36" fillId="0" borderId="25" xfId="0" applyFont="1" applyBorder="1"/>
    <xf numFmtId="0" fontId="4" fillId="0" borderId="0" xfId="0" applyFont="1" applyAlignment="1">
      <alignment horizontal="center" vertical="center"/>
    </xf>
    <xf numFmtId="169" fontId="32" fillId="0" borderId="0" xfId="1" applyNumberFormat="1" applyFont="1" applyFill="1"/>
    <xf numFmtId="169" fontId="5" fillId="5" borderId="1" xfId="1" applyNumberFormat="1" applyFont="1" applyFill="1" applyBorder="1" applyAlignment="1">
      <alignment horizontal="center" vertical="center" wrapText="1"/>
    </xf>
    <xf numFmtId="164" fontId="4" fillId="0" borderId="1" xfId="1" applyFont="1" applyFill="1" applyBorder="1"/>
    <xf numFmtId="164" fontId="4" fillId="0" borderId="1" xfId="1" applyFont="1" applyBorder="1"/>
    <xf numFmtId="164" fontId="32" fillId="0" borderId="0" xfId="1" applyFont="1"/>
    <xf numFmtId="164" fontId="8" fillId="0" borderId="0" xfId="1" applyFont="1"/>
    <xf numFmtId="14" fontId="17" fillId="0" borderId="19" xfId="0" applyNumberFormat="1" applyFont="1" applyBorder="1" applyAlignment="1">
      <alignment vertical="top"/>
    </xf>
    <xf numFmtId="0" fontId="4" fillId="0" borderId="25" xfId="0" applyFont="1" applyBorder="1"/>
    <xf numFmtId="0" fontId="4" fillId="3" borderId="1" xfId="0" applyFont="1" applyFill="1" applyBorder="1" applyAlignment="1">
      <alignment horizontal="left"/>
    </xf>
    <xf numFmtId="0" fontId="8" fillId="0" borderId="18" xfId="0" applyFont="1" applyBorder="1"/>
    <xf numFmtId="0" fontId="8" fillId="0" borderId="26" xfId="0" applyFont="1" applyBorder="1"/>
    <xf numFmtId="0" fontId="8" fillId="0" borderId="0" xfId="0" applyFont="1" applyAlignment="1">
      <alignment horizontal="left"/>
    </xf>
    <xf numFmtId="0" fontId="8" fillId="0" borderId="25" xfId="0" applyFont="1" applyBorder="1" applyAlignment="1">
      <alignment horizontal="left"/>
    </xf>
    <xf numFmtId="0" fontId="14" fillId="0" borderId="0" xfId="7" applyFont="1" applyFill="1" applyBorder="1" applyAlignment="1">
      <alignment horizontal="center" vertical="center"/>
    </xf>
    <xf numFmtId="0" fontId="14" fillId="0" borderId="22" xfId="0" applyFont="1" applyBorder="1" applyAlignment="1">
      <alignment horizontal="center"/>
    </xf>
    <xf numFmtId="0" fontId="14" fillId="0" borderId="0" xfId="0" applyFont="1" applyAlignment="1">
      <alignment horizontal="center"/>
    </xf>
    <xf numFmtId="0" fontId="14" fillId="0" borderId="8" xfId="0" applyFont="1" applyBorder="1" applyAlignment="1">
      <alignment horizontal="center"/>
    </xf>
    <xf numFmtId="0" fontId="14" fillId="0" borderId="9" xfId="0" applyFont="1" applyBorder="1" applyAlignment="1">
      <alignment horizontal="center"/>
    </xf>
    <xf numFmtId="0" fontId="17" fillId="0" borderId="39" xfId="0" applyFont="1" applyBorder="1" applyAlignment="1">
      <alignment horizontal="left" indent="1"/>
    </xf>
    <xf numFmtId="0" fontId="17" fillId="0" borderId="8" xfId="0" applyFont="1" applyBorder="1" applyAlignment="1">
      <alignment horizontal="left" indent="1"/>
    </xf>
    <xf numFmtId="0" fontId="17" fillId="0" borderId="40" xfId="0" applyFont="1" applyBorder="1" applyAlignment="1">
      <alignment horizontal="left" indent="1"/>
    </xf>
    <xf numFmtId="0" fontId="9" fillId="7" borderId="39" xfId="0" applyFont="1" applyFill="1" applyBorder="1" applyAlignment="1">
      <alignment horizontal="left" indent="1"/>
    </xf>
    <xf numFmtId="0" fontId="7" fillId="7" borderId="8" xfId="0" applyFont="1" applyFill="1" applyBorder="1" applyAlignment="1">
      <alignment horizontal="left" indent="1"/>
    </xf>
    <xf numFmtId="0" fontId="7" fillId="7" borderId="40" xfId="0" applyFont="1" applyFill="1" applyBorder="1" applyAlignment="1">
      <alignment horizontal="left" indent="1"/>
    </xf>
    <xf numFmtId="167" fontId="14" fillId="0" borderId="24" xfId="0" applyNumberFormat="1" applyFont="1" applyBorder="1" applyAlignment="1">
      <alignment horizontal="left" indent="1"/>
    </xf>
    <xf numFmtId="167" fontId="14" fillId="0" borderId="0" xfId="0" applyNumberFormat="1" applyFont="1" applyAlignment="1">
      <alignment horizontal="left" indent="1"/>
    </xf>
    <xf numFmtId="0" fontId="16" fillId="0" borderId="18" xfId="0" applyFont="1" applyBorder="1"/>
    <xf numFmtId="0" fontId="16" fillId="0" borderId="26" xfId="0" applyFont="1" applyBorder="1"/>
    <xf numFmtId="0" fontId="9" fillId="7" borderId="43" xfId="0" applyFont="1" applyFill="1" applyBorder="1" applyAlignment="1">
      <alignment horizontal="left" indent="1"/>
    </xf>
    <xf numFmtId="0" fontId="7" fillId="7" borderId="15" xfId="0" applyFont="1" applyFill="1" applyBorder="1" applyAlignment="1">
      <alignment horizontal="left" indent="1"/>
    </xf>
    <xf numFmtId="0" fontId="7" fillId="7" borderId="44" xfId="0" applyFont="1" applyFill="1" applyBorder="1" applyAlignment="1">
      <alignment horizontal="left" indent="1"/>
    </xf>
    <xf numFmtId="0" fontId="8" fillId="0" borderId="0" xfId="0" applyFont="1"/>
    <xf numFmtId="0" fontId="8" fillId="0" borderId="20" xfId="0" applyFont="1" applyBorder="1" applyAlignment="1">
      <alignment horizontal="left" indent="1"/>
    </xf>
    <xf numFmtId="0" fontId="8" fillId="0" borderId="41" xfId="0" applyFont="1" applyBorder="1" applyAlignment="1">
      <alignment horizontal="left" indent="1"/>
    </xf>
    <xf numFmtId="167" fontId="14" fillId="0" borderId="19" xfId="0" applyNumberFormat="1" applyFont="1" applyBorder="1" applyAlignment="1">
      <alignment horizontal="left" indent="1"/>
    </xf>
    <xf numFmtId="0" fontId="16" fillId="0" borderId="19" xfId="0" applyFont="1" applyBorder="1" applyAlignment="1">
      <alignment vertical="top" wrapText="1"/>
    </xf>
    <xf numFmtId="0" fontId="16" fillId="0" borderId="42" xfId="0" applyFont="1" applyBorder="1" applyAlignment="1">
      <alignment vertical="top" wrapText="1"/>
    </xf>
    <xf numFmtId="0" fontId="16" fillId="0" borderId="18" xfId="0" applyFont="1" applyBorder="1" applyAlignment="1">
      <alignment vertical="top" wrapText="1"/>
    </xf>
    <xf numFmtId="0" fontId="16" fillId="0" borderId="26" xfId="0" applyFont="1" applyBorder="1" applyAlignment="1">
      <alignment vertical="top" wrapText="1"/>
    </xf>
    <xf numFmtId="0" fontId="16" fillId="0" borderId="0" xfId="0" applyFont="1" applyAlignment="1">
      <alignment horizontal="left"/>
    </xf>
    <xf numFmtId="167" fontId="14" fillId="0" borderId="19" xfId="0" applyNumberFormat="1" applyFont="1" applyBorder="1"/>
    <xf numFmtId="0" fontId="16" fillId="0" borderId="0" xfId="7" applyFont="1" applyFill="1" applyBorder="1" applyAlignment="1">
      <alignment horizontal="left" indent="1"/>
    </xf>
    <xf numFmtId="0" fontId="16" fillId="0" borderId="0" xfId="0" applyFont="1" applyAlignment="1">
      <alignment horizontal="left" indent="1"/>
    </xf>
    <xf numFmtId="0" fontId="16" fillId="0" borderId="25" xfId="0" applyFont="1" applyBorder="1" applyAlignment="1">
      <alignment horizontal="left" indent="1"/>
    </xf>
    <xf numFmtId="0" fontId="15" fillId="0" borderId="24" xfId="0" applyFont="1" applyBorder="1"/>
    <xf numFmtId="0" fontId="15" fillId="0" borderId="19" xfId="0" applyFont="1" applyBorder="1"/>
    <xf numFmtId="0" fontId="15" fillId="0" borderId="0" xfId="0" applyFont="1"/>
    <xf numFmtId="0" fontId="15" fillId="0" borderId="42" xfId="0" applyFont="1" applyBorder="1"/>
    <xf numFmtId="0" fontId="14" fillId="0" borderId="24" xfId="0" applyFont="1" applyBorder="1" applyAlignment="1">
      <alignment horizontal="left" indent="1"/>
    </xf>
    <xf numFmtId="0" fontId="14" fillId="0" borderId="0" xfId="0" applyFont="1" applyAlignment="1">
      <alignment horizontal="left" indent="1"/>
    </xf>
    <xf numFmtId="0" fontId="14" fillId="0" borderId="25" xfId="0" applyFont="1" applyBorder="1" applyAlignment="1">
      <alignment horizontal="left" indent="1"/>
    </xf>
    <xf numFmtId="0" fontId="8" fillId="0" borderId="19" xfId="0" applyFont="1" applyBorder="1" applyAlignment="1">
      <alignment vertical="top" wrapText="1"/>
    </xf>
    <xf numFmtId="0" fontId="8" fillId="0" borderId="42" xfId="0" applyFont="1" applyBorder="1" applyAlignment="1">
      <alignment vertical="top" wrapText="1"/>
    </xf>
    <xf numFmtId="0" fontId="8" fillId="0" borderId="18" xfId="0" applyFont="1" applyBorder="1" applyAlignment="1">
      <alignment vertical="top" wrapText="1"/>
    </xf>
    <xf numFmtId="0" fontId="8" fillId="0" borderId="26" xfId="0" applyFont="1" applyBorder="1" applyAlignment="1">
      <alignment vertical="top" wrapText="1"/>
    </xf>
    <xf numFmtId="0" fontId="16" fillId="0" borderId="19" xfId="7" applyFont="1" applyFill="1" applyBorder="1" applyAlignment="1">
      <alignment horizontal="left" indent="1"/>
    </xf>
    <xf numFmtId="0" fontId="16" fillId="0" borderId="42" xfId="7" applyFont="1" applyFill="1" applyBorder="1" applyAlignment="1">
      <alignment horizontal="left" indent="1"/>
    </xf>
    <xf numFmtId="0" fontId="11" fillId="0" borderId="45" xfId="0" applyFont="1" applyBorder="1" applyAlignment="1">
      <alignment horizontal="left" indent="1"/>
    </xf>
    <xf numFmtId="0" fontId="11" fillId="0" borderId="18" xfId="0" applyFont="1" applyBorder="1" applyAlignment="1">
      <alignment horizontal="left" indent="1"/>
    </xf>
    <xf numFmtId="167" fontId="14" fillId="0" borderId="46" xfId="0" applyNumberFormat="1" applyFont="1" applyBorder="1" applyAlignment="1">
      <alignment horizontal="left" indent="1"/>
    </xf>
    <xf numFmtId="0" fontId="8" fillId="0" borderId="18" xfId="0" applyFont="1" applyBorder="1" applyAlignment="1">
      <alignment horizontal="left" indent="1"/>
    </xf>
    <xf numFmtId="167" fontId="14" fillId="0" borderId="0" xfId="0" applyNumberFormat="1" applyFont="1"/>
    <xf numFmtId="3" fontId="8" fillId="0" borderId="20" xfId="1" applyNumberFormat="1" applyFont="1" applyFill="1" applyBorder="1" applyAlignment="1">
      <alignment horizontal="left" indent="1"/>
    </xf>
    <xf numFmtId="3" fontId="8" fillId="0" borderId="41" xfId="1" applyNumberFormat="1" applyFont="1" applyFill="1" applyBorder="1" applyAlignment="1">
      <alignment horizontal="left" indent="1"/>
    </xf>
    <xf numFmtId="1" fontId="8" fillId="0" borderId="20" xfId="0" applyNumberFormat="1" applyFont="1" applyBorder="1"/>
    <xf numFmtId="1" fontId="8" fillId="0" borderId="41" xfId="0" applyNumberFormat="1" applyFont="1" applyBorder="1"/>
    <xf numFmtId="0" fontId="20" fillId="0" borderId="24" xfId="0" applyFont="1" applyBorder="1" applyAlignment="1">
      <alignment horizontal="left" indent="3"/>
    </xf>
    <xf numFmtId="0" fontId="20" fillId="0" borderId="0" xfId="0" applyFont="1" applyAlignment="1">
      <alignment horizontal="left" indent="3"/>
    </xf>
    <xf numFmtId="0" fontId="20" fillId="0" borderId="25" xfId="0" applyFont="1" applyBorder="1" applyAlignment="1">
      <alignment horizontal="left" indent="3"/>
    </xf>
    <xf numFmtId="0" fontId="20" fillId="0" borderId="24" xfId="0" applyFont="1" applyBorder="1" applyAlignment="1">
      <alignment horizontal="left" wrapText="1" indent="3"/>
    </xf>
    <xf numFmtId="0" fontId="20" fillId="0" borderId="0" xfId="0" applyFont="1" applyAlignment="1">
      <alignment horizontal="left" wrapText="1" indent="3"/>
    </xf>
    <xf numFmtId="0" fontId="20" fillId="0" borderId="25" xfId="0" applyFont="1" applyBorder="1" applyAlignment="1">
      <alignment horizontal="left" wrapText="1" indent="3"/>
    </xf>
    <xf numFmtId="0" fontId="14" fillId="0" borderId="24" xfId="0" applyFont="1" applyBorder="1"/>
    <xf numFmtId="0" fontId="14" fillId="0" borderId="0" xfId="0" applyFont="1"/>
    <xf numFmtId="0" fontId="8" fillId="0" borderId="18" xfId="0" applyFont="1" applyBorder="1" applyAlignment="1">
      <alignment horizontal="left"/>
    </xf>
    <xf numFmtId="0" fontId="8" fillId="0" borderId="26" xfId="0" applyFont="1" applyBorder="1" applyAlignment="1">
      <alignment horizontal="left"/>
    </xf>
    <xf numFmtId="0" fontId="8" fillId="0" borderId="24" xfId="0" applyFont="1" applyBorder="1"/>
    <xf numFmtId="0" fontId="8" fillId="0" borderId="19" xfId="0" applyFont="1" applyBorder="1"/>
    <xf numFmtId="0" fontId="8" fillId="0" borderId="42" xfId="0" applyFont="1" applyBorder="1"/>
    <xf numFmtId="0" fontId="17" fillId="0" borderId="24" xfId="0" applyFont="1" applyBorder="1" applyAlignment="1">
      <alignment horizontal="justify" wrapText="1"/>
    </xf>
    <xf numFmtId="0" fontId="17" fillId="0" borderId="0" xfId="0" applyFont="1" applyAlignment="1">
      <alignment horizontal="justify" wrapText="1"/>
    </xf>
    <xf numFmtId="0" fontId="17" fillId="0" borderId="25" xfId="0" applyFont="1" applyBorder="1" applyAlignment="1">
      <alignment horizontal="justify" wrapText="1"/>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4" fillId="0" borderId="30" xfId="0" applyFont="1" applyBorder="1" applyAlignment="1">
      <alignment horizontal="center" vertical="center"/>
    </xf>
    <xf numFmtId="0" fontId="28" fillId="0" borderId="0" xfId="0" applyFont="1" applyAlignment="1">
      <alignment vertical="top"/>
    </xf>
    <xf numFmtId="172" fontId="11" fillId="0" borderId="18" xfId="0" applyNumberFormat="1" applyFont="1" applyBorder="1" applyAlignment="1">
      <alignment horizontal="left"/>
    </xf>
    <xf numFmtId="172" fontId="11" fillId="0" borderId="20" xfId="0" applyNumberFormat="1" applyFont="1" applyBorder="1" applyAlignment="1">
      <alignment horizontal="left"/>
    </xf>
    <xf numFmtId="0" fontId="9" fillId="7" borderId="1" xfId="5" applyFont="1" applyFill="1" applyBorder="1" applyAlignment="1">
      <alignment horizontal="center" vertical="center"/>
    </xf>
    <xf numFmtId="0" fontId="9" fillId="7" borderId="1" xfId="5" applyFont="1" applyFill="1" applyBorder="1" applyAlignment="1">
      <alignment horizontal="center"/>
    </xf>
    <xf numFmtId="168" fontId="9" fillId="7" borderId="1" xfId="1" applyNumberFormat="1" applyFont="1" applyFill="1" applyBorder="1" applyAlignment="1">
      <alignment horizontal="center" vertical="center"/>
    </xf>
  </cellXfs>
  <cellStyles count="9">
    <cellStyle name="Comma" xfId="1" builtinId="3"/>
    <cellStyle name="Comma 2" xfId="2" xr:uid="{00000000-0005-0000-0000-000031000000}"/>
    <cellStyle name="Comma 3" xfId="3" xr:uid="{00000000-0005-0000-0000-000032000000}"/>
    <cellStyle name="Comma 3 2" xfId="8" xr:uid="{8BF44F48-1CB4-4D6D-9768-2270F950A80A}"/>
    <cellStyle name="Comma 4" xfId="4" xr:uid="{00000000-0005-0000-0000-000033000000}"/>
    <cellStyle name="Hyperlink" xfId="7" builtinId="8"/>
    <cellStyle name="Normal" xfId="0" builtinId="0"/>
    <cellStyle name="Normal 2" xfId="5" xr:uid="{00000000-0005-0000-0000-000034000000}"/>
    <cellStyle name="Normal 3" xfId="6" xr:uid="{00000000-0005-0000-0000-000035000000}"/>
  </cellStyles>
  <dxfs count="1">
    <dxf>
      <font>
        <color theme="0"/>
      </font>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2</xdr:col>
      <xdr:colOff>42580</xdr:colOff>
      <xdr:row>1</xdr:row>
      <xdr:rowOff>47623</xdr:rowOff>
    </xdr:from>
    <xdr:to>
      <xdr:col>3</xdr:col>
      <xdr:colOff>44005</xdr:colOff>
      <xdr:row>4</xdr:row>
      <xdr:rowOff>168535</xdr:rowOff>
    </xdr:to>
    <xdr:pic>
      <xdr:nvPicPr>
        <xdr:cNvPr id="2" name="Picture 1">
          <a:extLst>
            <a:ext uri="{FF2B5EF4-FFF2-40B4-BE49-F238E27FC236}">
              <a16:creationId xmlns:a16="http://schemas.microsoft.com/office/drawing/2014/main" id="{5CBCF345-FEFC-4ACA-93CA-D021AC300C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37955" y="238123"/>
          <a:ext cx="792000" cy="7495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19050</xdr:colOff>
      <xdr:row>1</xdr:row>
      <xdr:rowOff>38102</xdr:rowOff>
    </xdr:from>
    <xdr:to>
      <xdr:col>2</xdr:col>
      <xdr:colOff>910167</xdr:colOff>
      <xdr:row>4</xdr:row>
      <xdr:rowOff>190500</xdr:rowOff>
    </xdr:to>
    <xdr:pic>
      <xdr:nvPicPr>
        <xdr:cNvPr id="2" name="Picture 1">
          <a:extLst>
            <a:ext uri="{FF2B5EF4-FFF2-40B4-BE49-F238E27FC236}">
              <a16:creationId xmlns:a16="http://schemas.microsoft.com/office/drawing/2014/main" id="{36258AC6-E0BA-44D9-AA3F-0262D674F18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5383" y="281519"/>
          <a:ext cx="891117" cy="850898"/>
        </a:xfrm>
        <a:prstGeom prst="rect">
          <a:avLst/>
        </a:prstGeom>
      </xdr:spPr>
    </xdr:pic>
    <xdr:clientData/>
  </xdr:twoCellAnchor>
  <xdr:twoCellAnchor>
    <xdr:from>
      <xdr:col>8</xdr:col>
      <xdr:colOff>195263</xdr:colOff>
      <xdr:row>5</xdr:row>
      <xdr:rowOff>214311</xdr:rowOff>
    </xdr:from>
    <xdr:to>
      <xdr:col>9</xdr:col>
      <xdr:colOff>195263</xdr:colOff>
      <xdr:row>7</xdr:row>
      <xdr:rowOff>4762</xdr:rowOff>
    </xdr:to>
    <xdr:sp macro="" textlink="">
      <xdr:nvSpPr>
        <xdr:cNvPr id="3" name="Rectangle 2">
          <a:extLst>
            <a:ext uri="{FF2B5EF4-FFF2-40B4-BE49-F238E27FC236}">
              <a16:creationId xmlns:a16="http://schemas.microsoft.com/office/drawing/2014/main" id="{B2183454-4A0C-4B2D-BD57-C8779C96E4C7}"/>
            </a:ext>
          </a:extLst>
        </xdr:cNvPr>
        <xdr:cNvSpPr/>
      </xdr:nvSpPr>
      <xdr:spPr>
        <a:xfrm>
          <a:off x="3138488" y="1366836"/>
          <a:ext cx="1123950" cy="247651"/>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mbria" panose="02040503050406030204" pitchFamily="18" charset="0"/>
              <a:ea typeface="Cambria" panose="02040503050406030204" pitchFamily="18" charset="0"/>
            </a:rPr>
            <a:t>RECEIPT</a:t>
          </a:r>
        </a:p>
      </xdr:txBody>
    </xdr:sp>
    <xdr:clientData/>
  </xdr:twoCellAnchor>
  <xdr:twoCellAnchor>
    <xdr:from>
      <xdr:col>8</xdr:col>
      <xdr:colOff>195263</xdr:colOff>
      <xdr:row>26</xdr:row>
      <xdr:rowOff>214311</xdr:rowOff>
    </xdr:from>
    <xdr:to>
      <xdr:col>9</xdr:col>
      <xdr:colOff>195263</xdr:colOff>
      <xdr:row>28</xdr:row>
      <xdr:rowOff>4762</xdr:rowOff>
    </xdr:to>
    <xdr:sp macro="" textlink="">
      <xdr:nvSpPr>
        <xdr:cNvPr id="4" name="Rectangle 3">
          <a:extLst>
            <a:ext uri="{FF2B5EF4-FFF2-40B4-BE49-F238E27FC236}">
              <a16:creationId xmlns:a16="http://schemas.microsoft.com/office/drawing/2014/main" id="{ABC2A21D-1716-46D5-851B-10E1B6D7B070}"/>
            </a:ext>
          </a:extLst>
        </xdr:cNvPr>
        <xdr:cNvSpPr/>
      </xdr:nvSpPr>
      <xdr:spPr>
        <a:xfrm>
          <a:off x="3138488" y="5414961"/>
          <a:ext cx="1123950" cy="247651"/>
        </a:xfrm>
        <a:prstGeom prst="rect">
          <a:avLst/>
        </a:prstGeom>
        <a:solidFill>
          <a:schemeClr val="accent5">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latin typeface="Cambria" panose="02040503050406030204" pitchFamily="18" charset="0"/>
              <a:ea typeface="Cambria" panose="02040503050406030204" pitchFamily="18" charset="0"/>
            </a:rPr>
            <a:t>RECEIPT</a:t>
          </a:r>
        </a:p>
      </xdr:txBody>
    </xdr:sp>
    <xdr:clientData/>
  </xdr:twoCellAnchor>
  <xdr:twoCellAnchor editAs="oneCell">
    <xdr:from>
      <xdr:col>2</xdr:col>
      <xdr:colOff>33866</xdr:colOff>
      <xdr:row>22</xdr:row>
      <xdr:rowOff>42332</xdr:rowOff>
    </xdr:from>
    <xdr:to>
      <xdr:col>2</xdr:col>
      <xdr:colOff>924983</xdr:colOff>
      <xdr:row>25</xdr:row>
      <xdr:rowOff>194730</xdr:rowOff>
    </xdr:to>
    <xdr:pic>
      <xdr:nvPicPr>
        <xdr:cNvPr id="6" name="Picture 5">
          <a:extLst>
            <a:ext uri="{FF2B5EF4-FFF2-40B4-BE49-F238E27FC236}">
              <a16:creationId xmlns:a16="http://schemas.microsoft.com/office/drawing/2014/main" id="{7B89CB16-ACB0-46D2-88AC-994E2E8990F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0199" y="4762499"/>
          <a:ext cx="891117" cy="85089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rrlbuildersanddeveloper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hyperlink" Target="mailto:prajapat_m22@yahoo.co.in" TargetMode="External"/><Relationship Id="rId18" Type="http://schemas.openxmlformats.org/officeDocument/2006/relationships/hyperlink" Target="mailto:ravis138@rediffmail.com" TargetMode="External"/><Relationship Id="rId26" Type="http://schemas.openxmlformats.org/officeDocument/2006/relationships/hyperlink" Target="mailto:ragha409@gmail.com" TargetMode="External"/><Relationship Id="rId39" Type="http://schemas.openxmlformats.org/officeDocument/2006/relationships/vmlDrawing" Target="../drawings/vmlDrawing1.vml"/><Relationship Id="rId21" Type="http://schemas.openxmlformats.org/officeDocument/2006/relationships/hyperlink" Target="mailto:jksk.mutyala@gmail.com" TargetMode="External"/><Relationship Id="rId34" Type="http://schemas.openxmlformats.org/officeDocument/2006/relationships/hyperlink" Target="mailto:kkmkhandelwal@gmail.com" TargetMode="External"/><Relationship Id="rId7" Type="http://schemas.openxmlformats.org/officeDocument/2006/relationships/hyperlink" Target="mailto:ritikasarkhel@gmail.com" TargetMode="External"/><Relationship Id="rId12" Type="http://schemas.openxmlformats.org/officeDocument/2006/relationships/hyperlink" Target="mailto:ravis138@rediffmail.com" TargetMode="External"/><Relationship Id="rId17" Type="http://schemas.openxmlformats.org/officeDocument/2006/relationships/hyperlink" Target="mailto:nayak.joydeep@gmail.com" TargetMode="External"/><Relationship Id="rId25" Type="http://schemas.openxmlformats.org/officeDocument/2006/relationships/hyperlink" Target="mailto:sridharan20077@gmail.com" TargetMode="External"/><Relationship Id="rId33" Type="http://schemas.openxmlformats.org/officeDocument/2006/relationships/hyperlink" Target="mailto:savita.789@gmail.com" TargetMode="External"/><Relationship Id="rId38" Type="http://schemas.openxmlformats.org/officeDocument/2006/relationships/printerSettings" Target="../printerSettings/printerSettings3.bin"/><Relationship Id="rId2" Type="http://schemas.openxmlformats.org/officeDocument/2006/relationships/hyperlink" Target="mailto:kongara.ramarao@gmail.com" TargetMode="External"/><Relationship Id="rId16" Type="http://schemas.openxmlformats.org/officeDocument/2006/relationships/hyperlink" Target="mailto:mohan.reddimasi@gmail.com" TargetMode="External"/><Relationship Id="rId20" Type="http://schemas.openxmlformats.org/officeDocument/2006/relationships/hyperlink" Target="mailto:naveenguntupalli@gmail.com" TargetMode="External"/><Relationship Id="rId29" Type="http://schemas.openxmlformats.org/officeDocument/2006/relationships/hyperlink" Target="mailto:atluri.Raviteja005@gmail.com" TargetMode="External"/><Relationship Id="rId1" Type="http://schemas.openxmlformats.org/officeDocument/2006/relationships/hyperlink" Target="mailto:kongara.ramarao@gmail.com" TargetMode="External"/><Relationship Id="rId6" Type="http://schemas.openxmlformats.org/officeDocument/2006/relationships/hyperlink" Target="mailto:achalkapoor@live.com" TargetMode="External"/><Relationship Id="rId11" Type="http://schemas.openxmlformats.org/officeDocument/2006/relationships/hyperlink" Target="mailto:shankar.annamalai090@gmail.com" TargetMode="External"/><Relationship Id="rId24" Type="http://schemas.openxmlformats.org/officeDocument/2006/relationships/hyperlink" Target="mailto:murali.konduruu@gamil.com" TargetMode="External"/><Relationship Id="rId32" Type="http://schemas.openxmlformats.org/officeDocument/2006/relationships/hyperlink" Target="mailto:sovaraj@gmail.com" TargetMode="External"/><Relationship Id="rId37" Type="http://schemas.openxmlformats.org/officeDocument/2006/relationships/hyperlink" Target="mailto:patra.abinash02@gmail.com" TargetMode="External"/><Relationship Id="rId40" Type="http://schemas.openxmlformats.org/officeDocument/2006/relationships/comments" Target="../comments1.xml"/><Relationship Id="rId5" Type="http://schemas.openxmlformats.org/officeDocument/2006/relationships/hyperlink" Target="mailto:murali.konduruu@gamil.com" TargetMode="External"/><Relationship Id="rId15" Type="http://schemas.openxmlformats.org/officeDocument/2006/relationships/hyperlink" Target="mailto:ganji.krishna80@gmail.com" TargetMode="External"/><Relationship Id="rId23" Type="http://schemas.openxmlformats.org/officeDocument/2006/relationships/hyperlink" Target="mailto:bbr.td85@gmail.com" TargetMode="External"/><Relationship Id="rId28" Type="http://schemas.openxmlformats.org/officeDocument/2006/relationships/hyperlink" Target="mailto:nandakumartv@gmail.com" TargetMode="External"/><Relationship Id="rId36" Type="http://schemas.openxmlformats.org/officeDocument/2006/relationships/hyperlink" Target="mailto:padhi.sapna314@gmail.com" TargetMode="External"/><Relationship Id="rId10" Type="http://schemas.openxmlformats.org/officeDocument/2006/relationships/hyperlink" Target="mailto:tiwari279@gmail.com" TargetMode="External"/><Relationship Id="rId19" Type="http://schemas.openxmlformats.org/officeDocument/2006/relationships/hyperlink" Target="mailto:ragha409@gmail.com" TargetMode="External"/><Relationship Id="rId31" Type="http://schemas.openxmlformats.org/officeDocument/2006/relationships/hyperlink" Target="mailto:222drisya@gmail.com" TargetMode="External"/><Relationship Id="rId4" Type="http://schemas.openxmlformats.org/officeDocument/2006/relationships/hyperlink" Target="mailto:deenagsom@gmail.com" TargetMode="External"/><Relationship Id="rId9" Type="http://schemas.openxmlformats.org/officeDocument/2006/relationships/hyperlink" Target="mailto:sushrutmathur@gmail.com" TargetMode="External"/><Relationship Id="rId14" Type="http://schemas.openxmlformats.org/officeDocument/2006/relationships/hyperlink" Target="mailto:abhishekroy331@gmail.com" TargetMode="External"/><Relationship Id="rId22" Type="http://schemas.openxmlformats.org/officeDocument/2006/relationships/hyperlink" Target="mailto:harish.nag0077@gmail.com" TargetMode="External"/><Relationship Id="rId27" Type="http://schemas.openxmlformats.org/officeDocument/2006/relationships/hyperlink" Target="mailto:maheshbabu.tanuku@gmail.com" TargetMode="External"/><Relationship Id="rId30" Type="http://schemas.openxmlformats.org/officeDocument/2006/relationships/hyperlink" Target="mailto:abhivk4u@gmail.com" TargetMode="External"/><Relationship Id="rId35" Type="http://schemas.openxmlformats.org/officeDocument/2006/relationships/hyperlink" Target="mailto:sruthicutey4@gmail.com" TargetMode="External"/><Relationship Id="rId8" Type="http://schemas.openxmlformats.org/officeDocument/2006/relationships/hyperlink" Target="mailto:shubho.bhatta123@gmail.com" TargetMode="External"/><Relationship Id="rId3" Type="http://schemas.openxmlformats.org/officeDocument/2006/relationships/hyperlink" Target="mailto:ranga.aluru@gmail.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6FC8C-B772-49F2-880F-DDFBFD12D153}">
  <sheetPr codeName="Sheet1">
    <pageSetUpPr fitToPage="1"/>
  </sheetPr>
  <dimension ref="C1:M41"/>
  <sheetViews>
    <sheetView zoomScaleNormal="100" workbookViewId="0">
      <selection activeCell="F3" sqref="F3:K3"/>
    </sheetView>
  </sheetViews>
  <sheetFormatPr defaultColWidth="11.42578125" defaultRowHeight="15.75"/>
  <cols>
    <col min="1" max="1" width="14" style="81" customWidth="1"/>
    <col min="2" max="2" width="2.42578125" style="81" customWidth="1"/>
    <col min="3" max="3" width="11.85546875" style="81" customWidth="1"/>
    <col min="4" max="4" width="6.42578125" style="81" customWidth="1"/>
    <col min="5" max="5" width="3.7109375" style="81" customWidth="1"/>
    <col min="6" max="6" width="12" style="81" customWidth="1"/>
    <col min="7" max="7" width="9" style="81" customWidth="1"/>
    <col min="8" max="8" width="6.140625" style="81" customWidth="1"/>
    <col min="9" max="9" width="7" style="81" customWidth="1"/>
    <col min="10" max="10" width="13.28515625" style="81" customWidth="1"/>
    <col min="11" max="11" width="9.5703125" style="81" customWidth="1"/>
    <col min="12" max="12" width="10.42578125" style="81" customWidth="1"/>
    <col min="13" max="13" width="15.42578125" style="81" customWidth="1"/>
    <col min="14" max="14" width="3.140625" style="81" customWidth="1"/>
    <col min="15" max="16384" width="11.42578125" style="81"/>
  </cols>
  <sheetData>
    <row r="1" spans="3:13" ht="15" customHeight="1" thickBot="1">
      <c r="C1" s="243" t="s">
        <v>170</v>
      </c>
      <c r="D1" s="243"/>
      <c r="E1" s="243"/>
      <c r="F1" s="243"/>
      <c r="G1" s="243"/>
      <c r="H1" s="243"/>
      <c r="I1" s="243"/>
      <c r="J1" s="243"/>
      <c r="K1" s="243"/>
      <c r="L1" s="243"/>
      <c r="M1" s="243"/>
    </row>
    <row r="2" spans="3:13">
      <c r="C2" s="135"/>
      <c r="D2" s="136"/>
      <c r="E2" s="136"/>
      <c r="F2" s="244" t="s">
        <v>130</v>
      </c>
      <c r="G2" s="244"/>
      <c r="H2" s="244"/>
      <c r="I2" s="244"/>
      <c r="J2" s="244"/>
      <c r="K2" s="244"/>
      <c r="L2" s="137" t="s">
        <v>131</v>
      </c>
      <c r="M2" s="175" t="str">
        <f>UPPER(IFERROR(VLOOKUP(M3,Data!A1:AV78,19,0),""))</f>
        <v/>
      </c>
    </row>
    <row r="3" spans="3:13" ht="18">
      <c r="C3" s="138"/>
      <c r="D3" s="180"/>
      <c r="E3" s="180"/>
      <c r="F3" s="245" t="s">
        <v>132</v>
      </c>
      <c r="G3" s="245"/>
      <c r="H3" s="245"/>
      <c r="I3" s="245"/>
      <c r="J3" s="245"/>
      <c r="K3" s="245"/>
      <c r="L3" s="82" t="s">
        <v>133</v>
      </c>
      <c r="M3" s="176"/>
    </row>
    <row r="4" spans="3:13">
      <c r="C4" s="138"/>
      <c r="D4" s="180"/>
      <c r="E4" s="180"/>
      <c r="F4" s="245" t="s">
        <v>163</v>
      </c>
      <c r="G4" s="245"/>
      <c r="H4" s="245"/>
      <c r="I4" s="245"/>
      <c r="J4" s="245"/>
      <c r="K4" s="245"/>
      <c r="L4" s="82" t="s">
        <v>34</v>
      </c>
      <c r="M4" s="177" t="str">
        <f>UPPER(IFERROR(VLOOKUP(M3,Data!A1:AV78,4,0),""))</f>
        <v/>
      </c>
    </row>
    <row r="5" spans="3:13">
      <c r="C5" s="139"/>
      <c r="D5" s="83"/>
      <c r="E5" s="83"/>
      <c r="F5" s="246" t="s">
        <v>134</v>
      </c>
      <c r="G5" s="246"/>
      <c r="H5" s="246"/>
      <c r="I5" s="246"/>
      <c r="J5" s="246"/>
      <c r="K5" s="247"/>
      <c r="L5" s="82" t="s">
        <v>135</v>
      </c>
      <c r="M5" s="184" t="str">
        <f>IFERROR(VLOOKUP(M3,Data!A1:AV78,18,0),"")</f>
        <v/>
      </c>
    </row>
    <row r="6" spans="3:13">
      <c r="C6" s="248" t="s">
        <v>136</v>
      </c>
      <c r="D6" s="249"/>
      <c r="E6" s="249"/>
      <c r="F6" s="249"/>
      <c r="G6" s="249"/>
      <c r="H6" s="249"/>
      <c r="I6" s="249"/>
      <c r="J6" s="249"/>
      <c r="K6" s="249"/>
      <c r="L6" s="249"/>
      <c r="M6" s="250"/>
    </row>
    <row r="7" spans="3:13">
      <c r="C7" s="251" t="s">
        <v>137</v>
      </c>
      <c r="D7" s="252"/>
      <c r="E7" s="252"/>
      <c r="F7" s="252"/>
      <c r="G7" s="252"/>
      <c r="H7" s="252"/>
      <c r="I7" s="252"/>
      <c r="J7" s="252"/>
      <c r="K7" s="252"/>
      <c r="L7" s="252"/>
      <c r="M7" s="253"/>
    </row>
    <row r="8" spans="3:13">
      <c r="C8" s="254" t="s">
        <v>138</v>
      </c>
      <c r="D8" s="255"/>
      <c r="E8" s="255"/>
      <c r="F8" s="255"/>
      <c r="G8" s="255"/>
      <c r="H8" s="256" t="str">
        <f>UPPER(IFERROR(VLOOKUP(M3,Data!A1:AV78,2,0),""))</f>
        <v/>
      </c>
      <c r="I8" s="256"/>
      <c r="J8" s="256"/>
      <c r="K8" s="256"/>
      <c r="L8" s="256"/>
      <c r="M8" s="257"/>
    </row>
    <row r="9" spans="3:13">
      <c r="C9" s="140" t="s">
        <v>115</v>
      </c>
      <c r="D9" s="81" t="str">
        <f>UPPER(IFERROR(VLOOKUP(M3,Data!A1:AV78,25,0),""))</f>
        <v/>
      </c>
      <c r="E9" s="261" t="str">
        <f>IF(D9="Nil","","yrs")</f>
        <v>yrs</v>
      </c>
      <c r="F9" s="261"/>
      <c r="G9" s="261"/>
      <c r="H9" s="261"/>
      <c r="I9" s="84" t="s">
        <v>139</v>
      </c>
      <c r="J9" s="262" t="str">
        <f>UPPER(IFERROR(VLOOKUP(M3,Data!A1:AV78,28,0),""))</f>
        <v/>
      </c>
      <c r="K9" s="262"/>
      <c r="L9" s="262"/>
      <c r="M9" s="263"/>
    </row>
    <row r="10" spans="3:13">
      <c r="C10" s="254" t="s">
        <v>140</v>
      </c>
      <c r="D10" s="264"/>
      <c r="E10" s="264"/>
      <c r="F10" s="264"/>
      <c r="G10" s="239" t="str">
        <f>UPPER(IFERROR(VLOOKUP(M3,Data!A1:AV78,22,0),""))</f>
        <v/>
      </c>
      <c r="H10" s="239"/>
      <c r="I10" s="239"/>
      <c r="J10" s="239"/>
      <c r="K10" s="239"/>
      <c r="L10" s="239"/>
      <c r="M10" s="240"/>
    </row>
    <row r="11" spans="3:13">
      <c r="C11" s="141" t="s">
        <v>141</v>
      </c>
      <c r="D11" s="265" t="str">
        <f>UPPER(IFERROR(VLOOKUP(M3,Data!A1:AV78,23,0),""))</f>
        <v/>
      </c>
      <c r="E11" s="265"/>
      <c r="F11" s="265"/>
      <c r="G11" s="265"/>
      <c r="H11" s="265"/>
      <c r="I11" s="265"/>
      <c r="J11" s="265"/>
      <c r="K11" s="265"/>
      <c r="L11" s="265"/>
      <c r="M11" s="266"/>
    </row>
    <row r="12" spans="3:13">
      <c r="C12" s="142"/>
      <c r="D12" s="267"/>
      <c r="E12" s="267"/>
      <c r="F12" s="267"/>
      <c r="G12" s="267"/>
      <c r="H12" s="267"/>
      <c r="I12" s="267"/>
      <c r="J12" s="267"/>
      <c r="K12" s="267"/>
      <c r="L12" s="267"/>
      <c r="M12" s="268"/>
    </row>
    <row r="13" spans="3:13">
      <c r="C13" s="140" t="s">
        <v>142</v>
      </c>
      <c r="D13" s="269" t="str">
        <f>UPPER(IFERROR(VLOOKUP(M3,Data!A1:AV78,26,0),""))</f>
        <v/>
      </c>
      <c r="E13" s="269"/>
      <c r="F13" s="269"/>
      <c r="G13" s="269"/>
      <c r="H13" s="270" t="s">
        <v>143</v>
      </c>
      <c r="I13" s="270"/>
      <c r="J13" s="271" t="str">
        <f>UPPER(IFERROR(VLOOKUP(M3,Data!A1:AV78,27,0),""))</f>
        <v/>
      </c>
      <c r="K13" s="272"/>
      <c r="L13" s="272"/>
      <c r="M13" s="273"/>
    </row>
    <row r="14" spans="3:13">
      <c r="C14" s="274"/>
      <c r="D14" s="275"/>
      <c r="E14" s="275"/>
      <c r="F14" s="275"/>
      <c r="G14" s="275"/>
      <c r="H14" s="276"/>
      <c r="I14" s="276"/>
      <c r="J14" s="275"/>
      <c r="K14" s="275"/>
      <c r="L14" s="275"/>
      <c r="M14" s="277"/>
    </row>
    <row r="15" spans="3:13">
      <c r="C15" s="258" t="s">
        <v>144</v>
      </c>
      <c r="D15" s="259"/>
      <c r="E15" s="259"/>
      <c r="F15" s="259"/>
      <c r="G15" s="259"/>
      <c r="H15" s="259"/>
      <c r="I15" s="259"/>
      <c r="J15" s="259"/>
      <c r="K15" s="259"/>
      <c r="L15" s="259"/>
      <c r="M15" s="260"/>
    </row>
    <row r="16" spans="3:13">
      <c r="C16" s="254" t="s">
        <v>138</v>
      </c>
      <c r="D16" s="255"/>
      <c r="E16" s="255"/>
      <c r="F16" s="255"/>
      <c r="G16" s="255"/>
      <c r="H16" s="239" t="str">
        <f>UPPER(IFERROR(VLOOKUP(M3,Data!A1:AV78,30,0),""))</f>
        <v/>
      </c>
      <c r="I16" s="239"/>
      <c r="J16" s="239"/>
      <c r="K16" s="239"/>
      <c r="L16" s="239"/>
      <c r="M16" s="240"/>
    </row>
    <row r="17" spans="3:13">
      <c r="C17" s="140" t="s">
        <v>115</v>
      </c>
      <c r="D17" s="81" t="str">
        <f>UPPER(IFERROR(VLOOKUP(M3,Data!A1:AV78,34,0),""))</f>
        <v/>
      </c>
      <c r="E17" s="239" t="str">
        <f>IF(D17="Nil","","yrs")</f>
        <v>yrs</v>
      </c>
      <c r="F17" s="239"/>
      <c r="G17" s="239"/>
      <c r="H17" s="239"/>
      <c r="I17" s="182" t="s">
        <v>139</v>
      </c>
      <c r="J17" s="262" t="str">
        <f>UPPER(IFERROR(VLOOKUP(M3,Data!A1:AV78,37,0),""))</f>
        <v/>
      </c>
      <c r="K17" s="262"/>
      <c r="L17" s="262"/>
      <c r="M17" s="263"/>
    </row>
    <row r="18" spans="3:13">
      <c r="C18" s="254" t="s">
        <v>140</v>
      </c>
      <c r="D18" s="264"/>
      <c r="E18" s="264"/>
      <c r="F18" s="264"/>
      <c r="G18" s="239" t="str">
        <f>UPPER(IFERROR(VLOOKUP(M3,Data!A1:AV78,31,0),""))</f>
        <v/>
      </c>
      <c r="H18" s="239"/>
      <c r="I18" s="239"/>
      <c r="J18" s="239"/>
      <c r="K18" s="239"/>
      <c r="L18" s="239"/>
      <c r="M18" s="240"/>
    </row>
    <row r="19" spans="3:13">
      <c r="C19" s="141" t="s">
        <v>141</v>
      </c>
      <c r="D19" s="281" t="str">
        <f>UPPER(IFERROR(VLOOKUP(M3,Data!A1:AV78,32,0),""))</f>
        <v/>
      </c>
      <c r="E19" s="281"/>
      <c r="F19" s="281"/>
      <c r="G19" s="281"/>
      <c r="H19" s="281"/>
      <c r="I19" s="281"/>
      <c r="J19" s="281"/>
      <c r="K19" s="281"/>
      <c r="L19" s="281"/>
      <c r="M19" s="282"/>
    </row>
    <row r="20" spans="3:13">
      <c r="C20" s="145"/>
      <c r="D20" s="283"/>
      <c r="E20" s="283"/>
      <c r="F20" s="283"/>
      <c r="G20" s="283"/>
      <c r="H20" s="283"/>
      <c r="I20" s="283"/>
      <c r="J20" s="283"/>
      <c r="K20" s="283"/>
      <c r="L20" s="283"/>
      <c r="M20" s="284"/>
    </row>
    <row r="21" spans="3:13">
      <c r="C21" s="140" t="s">
        <v>142</v>
      </c>
      <c r="D21" s="239" t="str">
        <f>UPPER(IFERROR(VLOOKUP(M3,Data!A1:AV78,35,0),""))</f>
        <v/>
      </c>
      <c r="E21" s="239"/>
      <c r="F21" s="239"/>
      <c r="G21" s="239"/>
      <c r="H21" s="270" t="s">
        <v>143</v>
      </c>
      <c r="I21" s="270"/>
      <c r="J21" s="285" t="str">
        <f>UPPER(IFERROR(VLOOKUP(M3,Data!A1:AV78,36,0),""))</f>
        <v/>
      </c>
      <c r="K21" s="285"/>
      <c r="L21" s="285"/>
      <c r="M21" s="286"/>
    </row>
    <row r="22" spans="3:13">
      <c r="C22" s="143"/>
      <c r="D22" s="180"/>
      <c r="E22" s="180"/>
      <c r="F22" s="180"/>
      <c r="G22" s="180"/>
      <c r="H22" s="181"/>
      <c r="I22" s="181"/>
      <c r="J22" s="87"/>
      <c r="K22" s="87"/>
      <c r="L22" s="87"/>
      <c r="M22" s="144"/>
    </row>
    <row r="23" spans="3:13">
      <c r="C23" s="258" t="s">
        <v>145</v>
      </c>
      <c r="D23" s="259"/>
      <c r="E23" s="259"/>
      <c r="F23" s="259"/>
      <c r="G23" s="259"/>
      <c r="H23" s="259"/>
      <c r="I23" s="259"/>
      <c r="J23" s="259"/>
      <c r="K23" s="259"/>
      <c r="L23" s="259"/>
      <c r="M23" s="260"/>
    </row>
    <row r="24" spans="3:13">
      <c r="C24" s="278" t="s">
        <v>146</v>
      </c>
      <c r="D24" s="279"/>
      <c r="E24" s="279"/>
      <c r="F24" s="279"/>
      <c r="G24" s="279"/>
      <c r="H24" s="279"/>
      <c r="I24" s="279"/>
      <c r="J24" s="279"/>
      <c r="K24" s="279"/>
      <c r="L24" s="279"/>
      <c r="M24" s="280"/>
    </row>
    <row r="25" spans="3:13">
      <c r="C25" s="287" t="s">
        <v>167</v>
      </c>
      <c r="D25" s="288"/>
      <c r="E25" s="288"/>
      <c r="F25" s="288"/>
      <c r="G25" s="255" t="s">
        <v>133</v>
      </c>
      <c r="H25" s="255"/>
      <c r="I25" s="255"/>
      <c r="J25" s="185" t="str">
        <f>IF(M3="","",M3)</f>
        <v/>
      </c>
      <c r="K25" s="205" t="s">
        <v>35</v>
      </c>
      <c r="L25" s="241" t="str">
        <f>UPPER(IFERROR(VLOOKUP(M3,Data!A1:AV78,45,0),""))</f>
        <v/>
      </c>
      <c r="M25" s="242"/>
    </row>
    <row r="26" spans="3:13">
      <c r="C26" s="289" t="s">
        <v>147</v>
      </c>
      <c r="D26" s="264"/>
      <c r="E26" s="264"/>
      <c r="F26" s="85" t="str">
        <f>UPPER(IFERROR(VLOOKUP(M3,Data!A1:AV78,5,0),""))</f>
        <v/>
      </c>
      <c r="G26" s="182" t="s">
        <v>148</v>
      </c>
      <c r="H26" s="290" t="str">
        <f>UPPER(IFERROR(VLOOKUP(M3,Data!A1:AV78,3,0),""))</f>
        <v/>
      </c>
      <c r="I26" s="290"/>
      <c r="J26" s="270" t="s">
        <v>149</v>
      </c>
      <c r="K26" s="291"/>
      <c r="L26" s="292" t="str">
        <f>IFERROR(VLOOKUP(M3,Data!A1:AV78,6,0),"")</f>
        <v/>
      </c>
      <c r="M26" s="293"/>
    </row>
    <row r="27" spans="3:13">
      <c r="C27" s="186" t="s">
        <v>183</v>
      </c>
      <c r="D27" s="239" t="str">
        <f>IFERROR(UPPER(ConvertCurrencyToEnglish(L26)),"")</f>
        <v/>
      </c>
      <c r="E27" s="239"/>
      <c r="F27" s="239"/>
      <c r="G27" s="239"/>
      <c r="H27" s="239"/>
      <c r="I27" s="239"/>
      <c r="J27" s="239"/>
      <c r="K27" s="239"/>
      <c r="L27" s="239"/>
      <c r="M27" s="240"/>
    </row>
    <row r="28" spans="3:13">
      <c r="C28" s="289" t="s">
        <v>150</v>
      </c>
      <c r="D28" s="264"/>
      <c r="E28" s="264"/>
      <c r="F28" s="264"/>
      <c r="G28" s="294" t="str">
        <f>UPPER(IFERROR(VLOOKUP(M3,Data!A1:AV78,39,0),""))</f>
        <v/>
      </c>
      <c r="H28" s="294"/>
      <c r="I28" s="294"/>
      <c r="J28" s="294"/>
      <c r="K28" s="294"/>
      <c r="L28" s="294"/>
      <c r="M28" s="295"/>
    </row>
    <row r="29" spans="3:13">
      <c r="C29" s="254" t="s">
        <v>124</v>
      </c>
      <c r="D29" s="255"/>
      <c r="E29" s="255"/>
      <c r="F29" s="261" t="str">
        <f>UPPER(IFERROR(VLOOKUP(M3,Data!A1:AV78,41,0),""))</f>
        <v/>
      </c>
      <c r="G29" s="239"/>
      <c r="H29" s="239"/>
      <c r="I29" s="239"/>
      <c r="J29" s="239"/>
      <c r="K29" s="239"/>
      <c r="L29" s="86" t="s">
        <v>151</v>
      </c>
      <c r="M29" s="146" t="str">
        <f>M5</f>
        <v/>
      </c>
    </row>
    <row r="30" spans="3:13">
      <c r="C30" s="302" t="s">
        <v>152</v>
      </c>
      <c r="D30" s="303"/>
      <c r="E30" s="303"/>
      <c r="F30" s="183" t="str">
        <f>IFERROR(VLOOKUP(M3,Data!A1:AV78,42,0),"")</f>
        <v/>
      </c>
      <c r="G30" s="34" t="s">
        <v>183</v>
      </c>
      <c r="H30" s="304" t="str">
        <f>IFERROR(UPPER(ConvertCurrencyToEnglish(F30)),"")</f>
        <v/>
      </c>
      <c r="I30" s="304"/>
      <c r="J30" s="304"/>
      <c r="K30" s="304"/>
      <c r="L30" s="304"/>
      <c r="M30" s="305"/>
    </row>
    <row r="31" spans="3:13" ht="3.75" customHeight="1">
      <c r="C31" s="306"/>
      <c r="D31" s="261"/>
      <c r="E31" s="261"/>
      <c r="F31" s="307"/>
      <c r="G31" s="307"/>
      <c r="H31" s="307"/>
      <c r="I31" s="307"/>
      <c r="J31" s="307"/>
      <c r="K31" s="307"/>
      <c r="L31" s="307"/>
      <c r="M31" s="308"/>
    </row>
    <row r="32" spans="3:13" ht="18">
      <c r="C32" s="147" t="s">
        <v>153</v>
      </c>
      <c r="D32" s="88"/>
      <c r="E32" s="88"/>
      <c r="F32" s="88"/>
      <c r="G32" s="88"/>
      <c r="H32" s="88"/>
      <c r="I32" s="88"/>
      <c r="J32" s="88"/>
      <c r="K32" s="88"/>
      <c r="L32" s="88"/>
      <c r="M32" s="148"/>
    </row>
    <row r="33" spans="3:13" ht="284.25" customHeight="1">
      <c r="C33" s="309" t="s">
        <v>154</v>
      </c>
      <c r="D33" s="310"/>
      <c r="E33" s="310"/>
      <c r="F33" s="310"/>
      <c r="G33" s="310"/>
      <c r="H33" s="310"/>
      <c r="I33" s="310"/>
      <c r="J33" s="310"/>
      <c r="K33" s="310"/>
      <c r="L33" s="310"/>
      <c r="M33" s="311"/>
    </row>
    <row r="34" spans="3:13" ht="120" customHeight="1">
      <c r="C34" s="309" t="s">
        <v>155</v>
      </c>
      <c r="D34" s="310"/>
      <c r="E34" s="310"/>
      <c r="F34" s="310"/>
      <c r="G34" s="310"/>
      <c r="H34" s="310"/>
      <c r="I34" s="310"/>
      <c r="J34" s="310"/>
      <c r="K34" s="310"/>
      <c r="L34" s="310"/>
      <c r="M34" s="311"/>
    </row>
    <row r="35" spans="3:13" ht="18">
      <c r="C35" s="147" t="s">
        <v>156</v>
      </c>
      <c r="D35" s="89"/>
      <c r="E35" s="89"/>
      <c r="F35" s="89"/>
      <c r="G35" s="89"/>
      <c r="H35" s="89"/>
      <c r="I35" s="89"/>
      <c r="J35" s="89"/>
      <c r="K35" s="89"/>
      <c r="L35" s="89"/>
      <c r="M35" s="149"/>
    </row>
    <row r="36" spans="3:13" ht="67.5" customHeight="1">
      <c r="C36" s="309" t="s">
        <v>157</v>
      </c>
      <c r="D36" s="310"/>
      <c r="E36" s="310"/>
      <c r="F36" s="310"/>
      <c r="G36" s="310"/>
      <c r="H36" s="310"/>
      <c r="I36" s="310"/>
      <c r="J36" s="310"/>
      <c r="K36" s="310"/>
      <c r="L36" s="310"/>
      <c r="M36" s="311"/>
    </row>
    <row r="37" spans="3:13" ht="18">
      <c r="C37" s="150" t="s">
        <v>158</v>
      </c>
      <c r="D37" s="79"/>
      <c r="E37" s="79"/>
      <c r="F37" s="79"/>
      <c r="G37" s="79"/>
      <c r="H37" s="79"/>
      <c r="I37" s="79"/>
      <c r="J37" s="79"/>
      <c r="K37" s="79"/>
      <c r="L37" s="79"/>
      <c r="M37" s="151"/>
    </row>
    <row r="38" spans="3:13">
      <c r="C38" s="296" t="s">
        <v>159</v>
      </c>
      <c r="D38" s="297"/>
      <c r="E38" s="297"/>
      <c r="F38" s="297"/>
      <c r="G38" s="297"/>
      <c r="H38" s="297"/>
      <c r="I38" s="297"/>
      <c r="J38" s="297"/>
      <c r="K38" s="297"/>
      <c r="L38" s="297"/>
      <c r="M38" s="298"/>
    </row>
    <row r="39" spans="3:13">
      <c r="C39" s="299" t="s">
        <v>160</v>
      </c>
      <c r="D39" s="300"/>
      <c r="E39" s="300"/>
      <c r="F39" s="300"/>
      <c r="G39" s="300"/>
      <c r="H39" s="300"/>
      <c r="I39" s="300"/>
      <c r="J39" s="300"/>
      <c r="K39" s="300"/>
      <c r="L39" s="300"/>
      <c r="M39" s="301"/>
    </row>
    <row r="40" spans="3:13" ht="39.75" customHeight="1" thickBot="1">
      <c r="C40" s="152"/>
      <c r="D40" s="153"/>
      <c r="E40" s="153"/>
      <c r="F40" s="153"/>
      <c r="G40" s="153"/>
      <c r="H40" s="153"/>
      <c r="I40" s="153"/>
      <c r="J40" s="153"/>
      <c r="K40" s="153"/>
      <c r="L40" s="153"/>
      <c r="M40" s="154"/>
    </row>
    <row r="41" spans="3:13">
      <c r="I41" s="81" t="s">
        <v>106</v>
      </c>
    </row>
  </sheetData>
  <mergeCells count="51">
    <mergeCell ref="C38:M38"/>
    <mergeCell ref="C39:M39"/>
    <mergeCell ref="C30:E30"/>
    <mergeCell ref="H30:M30"/>
    <mergeCell ref="C31:M31"/>
    <mergeCell ref="C33:M33"/>
    <mergeCell ref="C34:M34"/>
    <mergeCell ref="C36:M36"/>
    <mergeCell ref="L26:M26"/>
    <mergeCell ref="D27:M27"/>
    <mergeCell ref="C28:F28"/>
    <mergeCell ref="G28:M28"/>
    <mergeCell ref="C29:E29"/>
    <mergeCell ref="F29:K29"/>
    <mergeCell ref="C25:F25"/>
    <mergeCell ref="G25:I25"/>
    <mergeCell ref="C26:E26"/>
    <mergeCell ref="H26:I26"/>
    <mergeCell ref="J26:K26"/>
    <mergeCell ref="C24:M24"/>
    <mergeCell ref="C16:G16"/>
    <mergeCell ref="H16:M16"/>
    <mergeCell ref="E17:H17"/>
    <mergeCell ref="J17:M17"/>
    <mergeCell ref="C18:F18"/>
    <mergeCell ref="D19:M20"/>
    <mergeCell ref="D21:G21"/>
    <mergeCell ref="H21:I21"/>
    <mergeCell ref="J21:M21"/>
    <mergeCell ref="C23:M23"/>
    <mergeCell ref="D11:M12"/>
    <mergeCell ref="D13:G13"/>
    <mergeCell ref="H13:I13"/>
    <mergeCell ref="J13:M13"/>
    <mergeCell ref="C14:M14"/>
    <mergeCell ref="G10:M10"/>
    <mergeCell ref="G18:M18"/>
    <mergeCell ref="L25:M25"/>
    <mergeCell ref="C1:M1"/>
    <mergeCell ref="F2:K2"/>
    <mergeCell ref="F3:K3"/>
    <mergeCell ref="F4:K4"/>
    <mergeCell ref="F5:K5"/>
    <mergeCell ref="C6:M6"/>
    <mergeCell ref="C7:M7"/>
    <mergeCell ref="C8:G8"/>
    <mergeCell ref="H8:M8"/>
    <mergeCell ref="C15:M15"/>
    <mergeCell ref="E9:H9"/>
    <mergeCell ref="J9:M9"/>
    <mergeCell ref="C10:F10"/>
  </mergeCells>
  <hyperlinks>
    <hyperlink ref="C1:M1" location="Homepage!A1" display="BOOKING FORM" xr:uid="{0D459E04-AF11-41AE-83A3-7E4AF061F855}"/>
    <hyperlink ref="F5" r:id="rId1" xr:uid="{98A31D6A-539E-48F5-8C0E-0AE675F7AA74}"/>
  </hyperlinks>
  <pageMargins left="0" right="0" top="0.39370078740157483" bottom="0" header="0.31496062992125984" footer="0.31496062992125984"/>
  <pageSetup paperSize="9" scale="77" orientation="portrait" horizontalDpi="0" verticalDpi="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7DEC722-A6E0-4108-9CA8-70A67A0D9F62}">
          <x14:formula1>
            <xm:f>Data!$A$2:$A$78</xm:f>
          </x14:formula1>
          <xm:sqref>M3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9244E-C36D-4F64-82A7-0B601BBD0599}">
  <sheetPr codeName="Sheet2">
    <pageSetUpPr fitToPage="1"/>
  </sheetPr>
  <dimension ref="B1:V41"/>
  <sheetViews>
    <sheetView zoomScale="90" zoomScaleNormal="90" workbookViewId="0">
      <selection activeCell="Q7" sqref="Q7"/>
    </sheetView>
  </sheetViews>
  <sheetFormatPr defaultColWidth="11.42578125" defaultRowHeight="18"/>
  <cols>
    <col min="1" max="1" width="3.7109375" style="42" customWidth="1"/>
    <col min="2" max="2" width="0.85546875" style="42" customWidth="1"/>
    <col min="3" max="3" width="17.85546875" style="42" customWidth="1"/>
    <col min="4" max="4" width="4.7109375" style="42" customWidth="1"/>
    <col min="5" max="5" width="5.85546875" style="42" customWidth="1"/>
    <col min="6" max="6" width="3.7109375" style="42" customWidth="1"/>
    <col min="7" max="7" width="2.5703125" style="42" customWidth="1"/>
    <col min="8" max="8" width="4.85546875" style="42" customWidth="1"/>
    <col min="9" max="9" width="16.85546875" style="42" customWidth="1"/>
    <col min="10" max="10" width="16.42578125" style="42" customWidth="1"/>
    <col min="11" max="11" width="8" style="42" customWidth="1"/>
    <col min="12" max="12" width="16" style="42" customWidth="1"/>
    <col min="13" max="13" width="0.7109375" style="42" customWidth="1"/>
    <col min="14" max="14" width="3.85546875" style="42" customWidth="1"/>
    <col min="15" max="17" width="11.42578125" style="42" customWidth="1"/>
    <col min="18" max="18" width="15.42578125" style="42" customWidth="1"/>
    <col min="19" max="24" width="11.42578125" style="42" customWidth="1"/>
    <col min="25" max="16384" width="11.42578125" style="42"/>
  </cols>
  <sheetData>
    <row r="1" spans="2:18" ht="18.75" thickBot="1">
      <c r="F1" s="43"/>
      <c r="G1" s="43"/>
    </row>
    <row r="2" spans="2:18">
      <c r="B2" s="44"/>
      <c r="C2" s="45"/>
      <c r="D2" s="209" t="s">
        <v>161</v>
      </c>
      <c r="E2" s="46"/>
      <c r="F2" s="35"/>
      <c r="G2" s="36"/>
      <c r="H2" s="35"/>
      <c r="I2" s="36"/>
      <c r="J2" s="36"/>
      <c r="K2" s="36"/>
      <c r="L2" s="36"/>
      <c r="M2" s="47"/>
    </row>
    <row r="3" spans="2:18">
      <c r="B3" s="48"/>
      <c r="D3" s="211" t="s">
        <v>162</v>
      </c>
      <c r="E3" s="50"/>
      <c r="F3" s="49"/>
      <c r="G3" s="50"/>
      <c r="H3" s="49"/>
      <c r="I3" s="50"/>
      <c r="J3" s="50"/>
      <c r="K3" s="50"/>
      <c r="L3" s="50"/>
      <c r="M3" s="51"/>
    </row>
    <row r="4" spans="2:18">
      <c r="B4" s="48"/>
      <c r="D4" s="210" t="s">
        <v>163</v>
      </c>
      <c r="E4" s="50"/>
      <c r="F4" s="49"/>
      <c r="G4" s="50"/>
      <c r="H4" s="49"/>
      <c r="I4" s="50"/>
      <c r="J4" s="50"/>
      <c r="K4" s="50"/>
      <c r="L4" s="50"/>
      <c r="M4" s="51"/>
    </row>
    <row r="5" spans="2:18">
      <c r="B5" s="48"/>
      <c r="D5" s="212" t="s">
        <v>134</v>
      </c>
      <c r="E5" s="52"/>
      <c r="F5" s="37"/>
      <c r="G5" s="53"/>
      <c r="H5" s="37"/>
      <c r="I5" s="53"/>
      <c r="J5" s="53"/>
      <c r="K5" s="53"/>
      <c r="L5" s="53"/>
      <c r="M5" s="51"/>
    </row>
    <row r="6" spans="2:18">
      <c r="B6" s="48"/>
      <c r="J6" s="54"/>
      <c r="K6" s="55" t="s">
        <v>131</v>
      </c>
      <c r="L6" s="8" t="s">
        <v>1058</v>
      </c>
      <c r="M6" s="51"/>
    </row>
    <row r="7" spans="2:18">
      <c r="B7" s="48"/>
      <c r="C7" s="38"/>
      <c r="D7" s="56"/>
      <c r="E7" s="56"/>
      <c r="F7" s="56"/>
      <c r="G7" s="56"/>
      <c r="H7" s="56"/>
      <c r="I7" s="39"/>
      <c r="J7" s="54"/>
      <c r="K7" s="56"/>
      <c r="L7" s="56"/>
      <c r="M7" s="51"/>
    </row>
    <row r="8" spans="2:18">
      <c r="B8" s="48"/>
      <c r="J8" s="54"/>
      <c r="K8" s="55" t="s">
        <v>135</v>
      </c>
      <c r="L8" s="174">
        <v>46101</v>
      </c>
      <c r="M8" s="51"/>
    </row>
    <row r="9" spans="2:18">
      <c r="B9" s="48"/>
      <c r="L9" s="57"/>
      <c r="M9" s="51"/>
    </row>
    <row r="10" spans="2:18">
      <c r="B10" s="48"/>
      <c r="C10" s="58" t="s">
        <v>164</v>
      </c>
      <c r="D10" s="58"/>
      <c r="E10" s="58"/>
      <c r="F10" s="58"/>
      <c r="G10" s="173" t="str">
        <f>UPPER(IFERROR(VLOOKUP(K14,Data!A2:AS78,2,0),""))</f>
        <v>SUSHRUT MATHUR</v>
      </c>
      <c r="H10" s="34"/>
      <c r="I10" s="59"/>
      <c r="J10" s="59"/>
      <c r="K10" s="59"/>
      <c r="L10" s="59"/>
      <c r="M10" s="51"/>
      <c r="P10" s="4"/>
    </row>
    <row r="11" spans="2:18">
      <c r="B11" s="48"/>
      <c r="G11" s="200"/>
      <c r="H11" s="59"/>
      <c r="I11" s="59"/>
      <c r="J11" s="59"/>
      <c r="K11" s="59"/>
      <c r="L11" s="59"/>
      <c r="M11" s="51"/>
    </row>
    <row r="12" spans="2:18">
      <c r="B12" s="48"/>
      <c r="C12" s="60" t="s">
        <v>187</v>
      </c>
      <c r="D12" s="4"/>
      <c r="E12" s="173" t="str">
        <f>UPPER((ConvertCurrencyToEnglish(C17)))</f>
        <v xml:space="preserve"> NINE LAKH TWELVE THOUSAND FOUR HUNDRED EIGHTY EIGHT ONLY</v>
      </c>
      <c r="F12" s="34"/>
      <c r="G12" s="59"/>
      <c r="H12" s="59"/>
      <c r="I12" s="62"/>
      <c r="J12" s="62"/>
      <c r="K12" s="62"/>
      <c r="L12" s="62"/>
      <c r="M12" s="237"/>
      <c r="N12" s="227"/>
      <c r="Q12" s="191"/>
    </row>
    <row r="13" spans="2:18">
      <c r="B13" s="48"/>
      <c r="C13" s="315" t="s">
        <v>165</v>
      </c>
      <c r="D13" s="315"/>
      <c r="E13" s="315"/>
      <c r="F13" s="4" t="s">
        <v>1053</v>
      </c>
      <c r="G13" s="61"/>
      <c r="H13" s="62"/>
      <c r="I13" s="63"/>
      <c r="J13" s="40"/>
      <c r="K13" s="40"/>
      <c r="L13" s="40"/>
      <c r="M13" s="41"/>
      <c r="R13" s="4"/>
    </row>
    <row r="14" spans="2:18">
      <c r="B14" s="48"/>
      <c r="C14" s="55" t="s">
        <v>151</v>
      </c>
      <c r="D14" s="316">
        <f>L8</f>
        <v>46101</v>
      </c>
      <c r="E14" s="316"/>
      <c r="F14" s="317"/>
      <c r="G14" s="188"/>
      <c r="H14" s="58"/>
      <c r="I14" s="190" t="s">
        <v>186</v>
      </c>
      <c r="J14" s="76"/>
      <c r="K14" s="208">
        <v>1701</v>
      </c>
      <c r="L14" s="62"/>
      <c r="M14" s="51"/>
      <c r="R14" s="64"/>
    </row>
    <row r="15" spans="2:18" ht="4.5" customHeight="1" thickBot="1">
      <c r="B15" s="65"/>
      <c r="C15" s="66"/>
      <c r="D15" s="66"/>
      <c r="E15" s="67"/>
      <c r="F15" s="67"/>
      <c r="G15" s="187"/>
      <c r="H15" s="68"/>
      <c r="I15" s="68"/>
      <c r="J15" s="68"/>
      <c r="K15" s="68"/>
      <c r="L15" s="68"/>
      <c r="M15" s="69"/>
    </row>
    <row r="16" spans="2:18" ht="6" customHeight="1" thickBot="1">
      <c r="B16" s="44"/>
      <c r="C16" s="45"/>
      <c r="D16" s="45"/>
      <c r="E16" s="45"/>
      <c r="F16" s="45"/>
      <c r="G16" s="45"/>
      <c r="H16" s="45"/>
      <c r="I16" s="45"/>
      <c r="J16" s="45"/>
      <c r="K16" s="45"/>
      <c r="L16" s="45"/>
      <c r="M16" s="47"/>
    </row>
    <row r="17" spans="2:19" ht="18.75" thickBot="1">
      <c r="B17" s="48"/>
      <c r="C17" s="172">
        <v>912488</v>
      </c>
      <c r="D17" s="70"/>
      <c r="E17" s="71"/>
      <c r="M17" s="51"/>
    </row>
    <row r="18" spans="2:19" ht="9.75" customHeight="1">
      <c r="B18" s="48"/>
      <c r="C18" s="77" t="s">
        <v>166</v>
      </c>
      <c r="D18" s="78"/>
      <c r="E18" s="71"/>
      <c r="M18" s="51"/>
    </row>
    <row r="19" spans="2:19" ht="18.75" thickBot="1">
      <c r="B19" s="312"/>
      <c r="C19" s="313"/>
      <c r="D19" s="313"/>
      <c r="E19" s="313"/>
      <c r="F19" s="313"/>
      <c r="G19" s="313"/>
      <c r="H19" s="313"/>
      <c r="I19" s="313"/>
      <c r="J19" s="313"/>
      <c r="K19" s="313"/>
      <c r="L19" s="313"/>
      <c r="M19" s="314"/>
      <c r="S19" s="42" t="s">
        <v>106</v>
      </c>
    </row>
    <row r="20" spans="2:19">
      <c r="B20" s="229"/>
      <c r="C20" s="229"/>
      <c r="D20" s="229"/>
      <c r="E20" s="229"/>
      <c r="F20" s="229"/>
      <c r="G20" s="229"/>
      <c r="H20" s="229"/>
      <c r="I20" s="229"/>
      <c r="J20" s="229"/>
      <c r="K20" s="229"/>
      <c r="L20" s="229"/>
      <c r="M20" s="229"/>
    </row>
    <row r="21" spans="2:19">
      <c r="B21" s="229"/>
      <c r="C21" s="229"/>
      <c r="D21" s="229"/>
      <c r="E21" s="229"/>
      <c r="F21" s="229"/>
      <c r="G21" s="229"/>
      <c r="H21" s="229"/>
      <c r="I21" s="229"/>
      <c r="J21" s="229"/>
      <c r="K21" s="229"/>
      <c r="L21" s="229"/>
      <c r="M21" s="229"/>
    </row>
    <row r="22" spans="2:19" ht="18.75" thickBot="1">
      <c r="C22" s="72"/>
      <c r="D22" s="73"/>
      <c r="E22" s="73"/>
      <c r="F22" s="73"/>
      <c r="G22" s="73"/>
      <c r="H22" s="73"/>
      <c r="I22" s="73"/>
      <c r="J22" s="73"/>
      <c r="K22" s="73"/>
      <c r="L22" s="73"/>
    </row>
    <row r="23" spans="2:19">
      <c r="B23" s="44"/>
      <c r="C23" s="45"/>
      <c r="D23" s="209" t="s">
        <v>161</v>
      </c>
      <c r="E23" s="46"/>
      <c r="F23" s="35"/>
      <c r="G23" s="36"/>
      <c r="H23" s="35"/>
      <c r="I23" s="36"/>
      <c r="J23" s="36"/>
      <c r="K23" s="36"/>
      <c r="L23" s="36"/>
      <c r="M23" s="47"/>
    </row>
    <row r="24" spans="2:19">
      <c r="B24" s="48"/>
      <c r="D24" s="211" t="s">
        <v>162</v>
      </c>
      <c r="E24" s="50"/>
      <c r="F24" s="49"/>
      <c r="G24" s="50"/>
      <c r="H24" s="49"/>
      <c r="I24" s="50"/>
      <c r="J24" s="50"/>
      <c r="K24" s="50"/>
      <c r="L24" s="50"/>
      <c r="M24" s="51"/>
    </row>
    <row r="25" spans="2:19">
      <c r="B25" s="48"/>
      <c r="D25" s="210" t="s">
        <v>163</v>
      </c>
      <c r="E25" s="50"/>
      <c r="F25" s="49"/>
      <c r="G25" s="50"/>
      <c r="H25" s="49"/>
      <c r="I25" s="50"/>
      <c r="J25" s="50"/>
      <c r="K25" s="50"/>
      <c r="L25" s="50"/>
      <c r="M25" s="51"/>
    </row>
    <row r="26" spans="2:19">
      <c r="B26" s="48"/>
      <c r="D26" s="212" t="s">
        <v>134</v>
      </c>
      <c r="E26" s="52"/>
      <c r="F26" s="37"/>
      <c r="G26" s="53"/>
      <c r="H26" s="37"/>
      <c r="I26" s="53"/>
      <c r="J26" s="53"/>
      <c r="K26" s="53"/>
      <c r="L26" s="53"/>
      <c r="M26" s="51"/>
    </row>
    <row r="27" spans="2:19">
      <c r="B27" s="48"/>
      <c r="J27" s="54"/>
      <c r="K27" s="55" t="s">
        <v>131</v>
      </c>
      <c r="L27" s="8" t="s">
        <v>1056</v>
      </c>
      <c r="M27" s="51"/>
    </row>
    <row r="28" spans="2:19">
      <c r="B28" s="48"/>
      <c r="C28" s="38"/>
      <c r="D28" s="56"/>
      <c r="E28" s="56"/>
      <c r="F28" s="56"/>
      <c r="G28" s="56"/>
      <c r="H28" s="56"/>
      <c r="I28" s="39"/>
      <c r="J28" s="54"/>
      <c r="K28" s="56"/>
      <c r="L28" s="56"/>
      <c r="M28" s="51"/>
    </row>
    <row r="29" spans="2:19">
      <c r="B29" s="48"/>
      <c r="J29" s="54"/>
      <c r="K29" s="55" t="s">
        <v>135</v>
      </c>
      <c r="L29" s="174">
        <v>46101</v>
      </c>
      <c r="M29" s="51"/>
    </row>
    <row r="30" spans="2:19">
      <c r="B30" s="48"/>
      <c r="L30" s="74"/>
      <c r="M30" s="51"/>
    </row>
    <row r="31" spans="2:19">
      <c r="B31" s="48"/>
      <c r="C31" s="58" t="s">
        <v>164</v>
      </c>
      <c r="D31" s="58"/>
      <c r="E31" s="58"/>
      <c r="F31" s="58"/>
      <c r="G31" s="173" t="str">
        <f>UPPER(IFERROR(VLOOKUP(K35,Data!A2:AS78,2,0),""))</f>
        <v>KULDEEP KHANDELWAL</v>
      </c>
      <c r="H31" s="34"/>
      <c r="I31" s="62"/>
      <c r="J31" s="62"/>
      <c r="K31" s="62"/>
      <c r="L31" s="62"/>
      <c r="M31" s="51"/>
    </row>
    <row r="32" spans="2:19">
      <c r="B32" s="48"/>
      <c r="H32" s="62"/>
      <c r="I32" s="62"/>
      <c r="J32" s="62"/>
      <c r="K32" s="62"/>
      <c r="L32" s="62"/>
      <c r="M32" s="51"/>
    </row>
    <row r="33" spans="2:22">
      <c r="B33" s="48"/>
      <c r="C33" s="58" t="s">
        <v>187</v>
      </c>
      <c r="D33" s="58"/>
      <c r="E33" s="173" t="e">
        <f>UPPER((ConvertCurrencyToEnglish(C38)))</f>
        <v>#VALUE!</v>
      </c>
      <c r="F33" s="34"/>
      <c r="G33" s="59"/>
      <c r="H33" s="59"/>
      <c r="I33" s="62"/>
      <c r="J33" s="62"/>
      <c r="K33" s="62"/>
      <c r="L33" s="62"/>
      <c r="M33" s="228"/>
      <c r="N33" s="227"/>
      <c r="O33" s="227"/>
    </row>
    <row r="34" spans="2:22">
      <c r="B34" s="48"/>
      <c r="C34" s="315" t="s">
        <v>165</v>
      </c>
      <c r="D34" s="315"/>
      <c r="E34" s="315"/>
      <c r="F34" s="4" t="s">
        <v>1054</v>
      </c>
      <c r="G34" s="75"/>
      <c r="H34" s="40"/>
      <c r="I34" s="40"/>
      <c r="J34" s="40"/>
      <c r="K34" s="40"/>
      <c r="L34" s="40"/>
      <c r="M34" s="51"/>
    </row>
    <row r="35" spans="2:22">
      <c r="B35" s="48"/>
      <c r="C35" s="55" t="s">
        <v>151</v>
      </c>
      <c r="D35" s="316">
        <f>L29</f>
        <v>46101</v>
      </c>
      <c r="E35" s="316"/>
      <c r="F35" s="316"/>
      <c r="G35" s="189"/>
      <c r="H35" s="58"/>
      <c r="I35" s="190" t="s">
        <v>186</v>
      </c>
      <c r="J35" s="76"/>
      <c r="K35" s="208">
        <v>1102</v>
      </c>
      <c r="L35" s="63"/>
      <c r="M35" s="51"/>
      <c r="V35" s="42" t="s">
        <v>106</v>
      </c>
    </row>
    <row r="36" spans="2:22" ht="4.5" customHeight="1" thickBot="1">
      <c r="B36" s="65"/>
      <c r="C36" s="66"/>
      <c r="D36" s="66"/>
      <c r="E36" s="67"/>
      <c r="F36" s="67"/>
      <c r="G36" s="187"/>
      <c r="H36" s="68"/>
      <c r="I36" s="68"/>
      <c r="J36" s="68"/>
      <c r="K36" s="68"/>
      <c r="L36" s="68"/>
      <c r="M36" s="69"/>
    </row>
    <row r="37" spans="2:22" ht="6" customHeight="1" thickBot="1">
      <c r="B37" s="44"/>
      <c r="C37" s="45"/>
      <c r="D37" s="45"/>
      <c r="E37" s="45"/>
      <c r="F37" s="45"/>
      <c r="G37" s="45"/>
      <c r="H37" s="45"/>
      <c r="I37" s="45"/>
      <c r="J37" s="45"/>
      <c r="K37" s="45"/>
      <c r="L37" s="45"/>
      <c r="M37" s="47"/>
    </row>
    <row r="38" spans="2:22" ht="18.75" thickBot="1">
      <c r="B38" s="48"/>
      <c r="C38" s="172" t="s">
        <v>106</v>
      </c>
      <c r="D38" s="70"/>
      <c r="E38" s="71"/>
      <c r="M38" s="51"/>
    </row>
    <row r="39" spans="2:22" ht="9.75" customHeight="1">
      <c r="B39" s="48"/>
      <c r="C39" s="77" t="s">
        <v>166</v>
      </c>
      <c r="D39" s="78"/>
      <c r="E39" s="71"/>
      <c r="M39" s="51"/>
    </row>
    <row r="40" spans="2:22" ht="18.75" thickBot="1">
      <c r="B40" s="312"/>
      <c r="C40" s="313"/>
      <c r="D40" s="313"/>
      <c r="E40" s="313"/>
      <c r="F40" s="313"/>
      <c r="G40" s="313"/>
      <c r="H40" s="313"/>
      <c r="I40" s="313"/>
      <c r="J40" s="313"/>
      <c r="K40" s="313"/>
      <c r="L40" s="313"/>
      <c r="M40" s="314"/>
    </row>
    <row r="41" spans="2:22">
      <c r="C41" s="72"/>
      <c r="D41" s="73"/>
      <c r="E41" s="73"/>
      <c r="F41" s="73"/>
      <c r="G41" s="73"/>
      <c r="H41" s="73"/>
      <c r="I41" s="73"/>
      <c r="J41" s="73"/>
      <c r="K41" s="73"/>
      <c r="L41" s="73"/>
    </row>
  </sheetData>
  <mergeCells count="6">
    <mergeCell ref="B40:M40"/>
    <mergeCell ref="C13:E13"/>
    <mergeCell ref="D14:F14"/>
    <mergeCell ref="B19:M19"/>
    <mergeCell ref="C34:E34"/>
    <mergeCell ref="D35:F35"/>
  </mergeCells>
  <hyperlinks>
    <hyperlink ref="D2" location="Homepage!A1" display="RRL BUILDERS AND DEVELOPERS PRIVATE LIMITED" xr:uid="{82DA8EDD-3151-4727-9638-B578AAE2A9C0}"/>
    <hyperlink ref="D23" location="Homepage!A1" display="RRL BUILDERS AND DEVELOPERS PRIVATE LIMITED" xr:uid="{40A22188-2FF9-4392-B556-5FFFE17B3B3A}"/>
  </hyperlinks>
  <pageMargins left="0.23622047244094491" right="0.43307086614173229" top="0.74803149606299213" bottom="0.74803149606299213" header="0.31496062992125984" footer="0.31496062992125984"/>
  <pageSetup paperSize="9" scale="48" fitToHeight="0"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1A1E333-8D2A-48FD-9A4A-765825153FEF}">
          <x14:formula1>
            <xm:f>Data!$A$2:$A$78</xm:f>
          </x14:formula1>
          <xm:sqref>K35 K14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E1E61-6368-4399-96BA-6D1D2691CD04}">
  <sheetPr codeName="Sheet3"/>
  <dimension ref="A1:P134"/>
  <sheetViews>
    <sheetView workbookViewId="0">
      <pane ySplit="1" topLeftCell="A101" activePane="bottomLeft" state="frozen"/>
      <selection pane="bottomLeft" activeCell="I132" sqref="I132"/>
    </sheetView>
  </sheetViews>
  <sheetFormatPr defaultColWidth="9.140625" defaultRowHeight="14.25"/>
  <cols>
    <col min="1" max="1" width="13.42578125" style="4" bestFit="1" customWidth="1"/>
    <col min="2" max="2" width="9.42578125" style="201" bestFit="1" customWidth="1"/>
    <col min="3" max="3" width="14.140625" style="4" bestFit="1" customWidth="1"/>
    <col min="4" max="4" width="13.28515625" style="168" bestFit="1" customWidth="1"/>
    <col min="5" max="5" width="14.140625" style="4" bestFit="1" customWidth="1"/>
    <col min="6" max="6" width="13" style="4" bestFit="1" customWidth="1"/>
    <col min="7" max="16384" width="9.140625" style="4"/>
  </cols>
  <sheetData>
    <row r="1" spans="1:7">
      <c r="A1" s="202" t="s">
        <v>168</v>
      </c>
      <c r="B1" s="203" t="s">
        <v>133</v>
      </c>
      <c r="C1" s="202" t="s">
        <v>55</v>
      </c>
      <c r="D1" s="204" t="s">
        <v>169</v>
      </c>
      <c r="E1" s="202" t="s">
        <v>122</v>
      </c>
      <c r="F1" s="202" t="s">
        <v>151</v>
      </c>
    </row>
    <row r="2" spans="1:7">
      <c r="A2" s="4" t="s">
        <v>200</v>
      </c>
      <c r="B2" s="201" t="s">
        <v>802</v>
      </c>
      <c r="C2" s="4" t="s">
        <v>171</v>
      </c>
      <c r="D2" s="168">
        <v>100000</v>
      </c>
      <c r="E2" s="4" t="s">
        <v>218</v>
      </c>
      <c r="F2" s="189">
        <v>45974</v>
      </c>
    </row>
    <row r="3" spans="1:7">
      <c r="A3" s="4" t="s">
        <v>201</v>
      </c>
      <c r="B3" s="201" t="s">
        <v>204</v>
      </c>
      <c r="C3" s="4" t="s">
        <v>203</v>
      </c>
      <c r="D3" s="168">
        <v>200000</v>
      </c>
      <c r="E3" s="4" t="s">
        <v>216</v>
      </c>
      <c r="F3" s="189">
        <v>46023</v>
      </c>
    </row>
    <row r="4" spans="1:7">
      <c r="A4" s="4" t="s">
        <v>220</v>
      </c>
      <c r="B4" s="201" t="s">
        <v>245</v>
      </c>
      <c r="C4" s="4" t="s">
        <v>205</v>
      </c>
      <c r="D4" s="168">
        <v>200000</v>
      </c>
      <c r="E4" s="4" t="s">
        <v>219</v>
      </c>
      <c r="F4" s="189">
        <v>46027</v>
      </c>
    </row>
    <row r="5" spans="1:7">
      <c r="A5" s="4" t="s">
        <v>221</v>
      </c>
      <c r="B5" s="201" t="s">
        <v>244</v>
      </c>
      <c r="C5" s="4" t="s">
        <v>234</v>
      </c>
      <c r="D5" s="168">
        <v>200000</v>
      </c>
      <c r="E5" s="4" t="s">
        <v>242</v>
      </c>
      <c r="F5" s="189">
        <v>46036</v>
      </c>
      <c r="G5" s="4" t="s">
        <v>845</v>
      </c>
    </row>
    <row r="6" spans="1:7">
      <c r="A6" s="4" t="s">
        <v>243</v>
      </c>
      <c r="B6" s="201" t="s">
        <v>359</v>
      </c>
      <c r="C6" s="4" t="s">
        <v>247</v>
      </c>
      <c r="D6" s="168">
        <v>100000</v>
      </c>
      <c r="E6" s="4" t="s">
        <v>358</v>
      </c>
      <c r="F6" s="189">
        <v>46035</v>
      </c>
    </row>
    <row r="7" spans="1:7">
      <c r="A7" s="4" t="s">
        <v>360</v>
      </c>
      <c r="B7" s="201" t="s">
        <v>363</v>
      </c>
      <c r="C7" s="4" t="s">
        <v>364</v>
      </c>
      <c r="D7" s="168">
        <v>80000</v>
      </c>
      <c r="E7" s="4" t="s">
        <v>358</v>
      </c>
      <c r="F7" s="189">
        <v>46035</v>
      </c>
    </row>
    <row r="8" spans="1:7">
      <c r="A8" s="4" t="s">
        <v>361</v>
      </c>
      <c r="B8" s="201" t="s">
        <v>363</v>
      </c>
      <c r="C8" s="4" t="s">
        <v>364</v>
      </c>
      <c r="D8" s="168">
        <v>20000</v>
      </c>
      <c r="E8" s="4" t="s">
        <v>362</v>
      </c>
      <c r="F8" s="189">
        <v>46035</v>
      </c>
    </row>
    <row r="9" spans="1:7">
      <c r="A9" s="4" t="s">
        <v>365</v>
      </c>
      <c r="B9" s="201" t="s">
        <v>369</v>
      </c>
      <c r="C9" s="4" t="s">
        <v>282</v>
      </c>
      <c r="D9" s="168">
        <v>1</v>
      </c>
      <c r="E9" s="4" t="s">
        <v>366</v>
      </c>
      <c r="F9" s="189">
        <v>46035</v>
      </c>
    </row>
    <row r="10" spans="1:7">
      <c r="A10" s="4" t="s">
        <v>368</v>
      </c>
      <c r="B10" s="201" t="s">
        <v>369</v>
      </c>
      <c r="C10" s="4" t="s">
        <v>282</v>
      </c>
      <c r="D10" s="168">
        <v>99999</v>
      </c>
      <c r="E10" s="4" t="s">
        <v>367</v>
      </c>
      <c r="F10" s="189">
        <v>46037</v>
      </c>
    </row>
    <row r="11" spans="1:7">
      <c r="A11" s="4" t="s">
        <v>370</v>
      </c>
      <c r="B11" s="201" t="s">
        <v>374</v>
      </c>
      <c r="C11" s="4" t="s">
        <v>233</v>
      </c>
      <c r="D11" s="168">
        <v>200000</v>
      </c>
      <c r="E11" s="4" t="s">
        <v>372</v>
      </c>
      <c r="F11" s="189">
        <v>46035</v>
      </c>
    </row>
    <row r="12" spans="1:7">
      <c r="A12" s="4" t="s">
        <v>373</v>
      </c>
      <c r="B12" s="201" t="s">
        <v>376</v>
      </c>
      <c r="C12" s="4" t="s">
        <v>205</v>
      </c>
      <c r="D12" s="168">
        <v>200000</v>
      </c>
      <c r="E12" s="4" t="s">
        <v>375</v>
      </c>
      <c r="F12" s="189">
        <v>46035</v>
      </c>
    </row>
    <row r="13" spans="1:7">
      <c r="A13" s="4" t="s">
        <v>377</v>
      </c>
      <c r="B13" s="201" t="s">
        <v>379</v>
      </c>
      <c r="C13" s="4" t="s">
        <v>233</v>
      </c>
      <c r="D13" s="168">
        <v>200000</v>
      </c>
      <c r="E13" s="4" t="s">
        <v>378</v>
      </c>
      <c r="F13" s="189">
        <v>46035</v>
      </c>
    </row>
    <row r="14" spans="1:7">
      <c r="A14" s="4" t="s">
        <v>381</v>
      </c>
      <c r="B14" s="201" t="s">
        <v>380</v>
      </c>
      <c r="C14" s="4" t="s">
        <v>285</v>
      </c>
      <c r="D14" s="168">
        <v>300000</v>
      </c>
      <c r="E14" s="4" t="s">
        <v>382</v>
      </c>
      <c r="F14" s="189">
        <v>46037</v>
      </c>
    </row>
    <row r="15" spans="1:7">
      <c r="A15" s="4" t="s">
        <v>383</v>
      </c>
      <c r="B15" s="201" t="s">
        <v>385</v>
      </c>
      <c r="C15" s="4" t="s">
        <v>279</v>
      </c>
      <c r="D15" s="168">
        <v>200000</v>
      </c>
      <c r="E15" s="4" t="s">
        <v>384</v>
      </c>
      <c r="F15" s="189">
        <v>46037</v>
      </c>
    </row>
    <row r="16" spans="1:7">
      <c r="A16" s="4" t="s">
        <v>386</v>
      </c>
      <c r="B16" s="201" t="s">
        <v>389</v>
      </c>
      <c r="C16" s="4" t="s">
        <v>287</v>
      </c>
      <c r="D16" s="168">
        <v>50000</v>
      </c>
      <c r="E16" s="4" t="s">
        <v>446</v>
      </c>
      <c r="F16" s="189">
        <v>46037</v>
      </c>
    </row>
    <row r="17" spans="1:7">
      <c r="A17" s="4" t="s">
        <v>387</v>
      </c>
      <c r="B17" s="201" t="s">
        <v>390</v>
      </c>
      <c r="C17" s="4" t="s">
        <v>304</v>
      </c>
      <c r="D17" s="168">
        <v>50000</v>
      </c>
      <c r="E17" s="4" t="s">
        <v>388</v>
      </c>
      <c r="F17" s="189">
        <v>46037</v>
      </c>
    </row>
    <row r="18" spans="1:7">
      <c r="A18" s="4" t="s">
        <v>391</v>
      </c>
      <c r="B18" s="201" t="s">
        <v>393</v>
      </c>
      <c r="C18" s="4" t="s">
        <v>289</v>
      </c>
      <c r="D18" s="168">
        <v>100000</v>
      </c>
      <c r="E18" s="4" t="s">
        <v>447</v>
      </c>
      <c r="F18" s="189">
        <v>46037</v>
      </c>
    </row>
    <row r="19" spans="1:7">
      <c r="A19" s="4" t="s">
        <v>392</v>
      </c>
      <c r="B19" s="201" t="s">
        <v>393</v>
      </c>
      <c r="C19" s="4" t="s">
        <v>289</v>
      </c>
      <c r="D19" s="168">
        <v>100000</v>
      </c>
      <c r="E19" s="4" t="s">
        <v>448</v>
      </c>
      <c r="F19" s="189">
        <v>46038</v>
      </c>
    </row>
    <row r="20" spans="1:7">
      <c r="A20" s="4" t="s">
        <v>394</v>
      </c>
      <c r="B20" s="201" t="s">
        <v>395</v>
      </c>
      <c r="C20" s="4" t="s">
        <v>328</v>
      </c>
      <c r="D20" s="168">
        <v>100000</v>
      </c>
      <c r="E20" s="4" t="s">
        <v>396</v>
      </c>
      <c r="F20" s="189">
        <v>46037</v>
      </c>
    </row>
    <row r="21" spans="1:7">
      <c r="A21" s="4" t="s">
        <v>397</v>
      </c>
      <c r="B21" s="201" t="s">
        <v>395</v>
      </c>
      <c r="C21" s="4" t="s">
        <v>328</v>
      </c>
      <c r="D21" s="168">
        <v>100000</v>
      </c>
      <c r="E21" s="4" t="s">
        <v>398</v>
      </c>
      <c r="F21" s="189">
        <v>46041</v>
      </c>
    </row>
    <row r="22" spans="1:7">
      <c r="A22" s="4" t="s">
        <v>399</v>
      </c>
      <c r="B22" s="201" t="s">
        <v>244</v>
      </c>
      <c r="C22" s="4" t="s">
        <v>292</v>
      </c>
      <c r="D22" s="168">
        <v>200000</v>
      </c>
      <c r="E22" s="4" t="s">
        <v>242</v>
      </c>
      <c r="F22" s="189">
        <v>46038</v>
      </c>
      <c r="G22" s="4" t="s">
        <v>449</v>
      </c>
    </row>
    <row r="23" spans="1:7">
      <c r="A23" s="4" t="s">
        <v>400</v>
      </c>
      <c r="B23" s="201" t="s">
        <v>402</v>
      </c>
      <c r="C23" s="4" t="s">
        <v>266</v>
      </c>
      <c r="D23" s="168">
        <v>200000</v>
      </c>
      <c r="E23" s="4" t="s">
        <v>401</v>
      </c>
      <c r="F23" s="189">
        <v>46036</v>
      </c>
    </row>
    <row r="24" spans="1:7">
      <c r="A24" s="4" t="s">
        <v>403</v>
      </c>
      <c r="B24" s="201" t="s">
        <v>369</v>
      </c>
      <c r="C24" s="4" t="s">
        <v>282</v>
      </c>
      <c r="D24" s="168">
        <v>100000</v>
      </c>
      <c r="E24" s="4" t="s">
        <v>404</v>
      </c>
      <c r="F24" s="189">
        <v>46039</v>
      </c>
    </row>
    <row r="25" spans="1:7">
      <c r="A25" s="4" t="s">
        <v>405</v>
      </c>
      <c r="B25" s="201" t="s">
        <v>406</v>
      </c>
      <c r="C25" s="4" t="s">
        <v>273</v>
      </c>
      <c r="D25" s="168">
        <v>400000</v>
      </c>
      <c r="E25" s="4" t="s">
        <v>407</v>
      </c>
      <c r="F25" s="189">
        <v>46039</v>
      </c>
    </row>
    <row r="26" spans="1:7">
      <c r="A26" s="4" t="s">
        <v>408</v>
      </c>
      <c r="B26" s="201" t="s">
        <v>413</v>
      </c>
      <c r="C26" s="4" t="s">
        <v>319</v>
      </c>
      <c r="D26" s="168">
        <v>50000</v>
      </c>
      <c r="E26" s="4" t="s">
        <v>411</v>
      </c>
      <c r="F26" s="189">
        <v>46039</v>
      </c>
    </row>
    <row r="27" spans="1:7">
      <c r="A27" s="4" t="s">
        <v>412</v>
      </c>
      <c r="B27" s="201" t="s">
        <v>420</v>
      </c>
      <c r="C27" s="4" t="s">
        <v>326</v>
      </c>
      <c r="D27" s="168">
        <v>70000</v>
      </c>
      <c r="E27" s="4" t="s">
        <v>417</v>
      </c>
      <c r="F27" s="189">
        <v>46041</v>
      </c>
    </row>
    <row r="28" spans="1:7">
      <c r="A28" s="4" t="s">
        <v>418</v>
      </c>
      <c r="B28" s="201" t="s">
        <v>420</v>
      </c>
      <c r="C28" s="4" t="s">
        <v>327</v>
      </c>
      <c r="D28" s="168">
        <v>30000</v>
      </c>
      <c r="E28" s="4" t="s">
        <v>419</v>
      </c>
      <c r="F28" s="189">
        <v>46041</v>
      </c>
    </row>
    <row r="29" spans="1:7">
      <c r="A29" s="4" t="s">
        <v>422</v>
      </c>
      <c r="B29" s="201" t="s">
        <v>413</v>
      </c>
      <c r="C29" s="201" t="s">
        <v>319</v>
      </c>
      <c r="D29" s="168">
        <v>99000</v>
      </c>
      <c r="E29" s="4" t="s">
        <v>423</v>
      </c>
      <c r="F29" s="189">
        <v>46041</v>
      </c>
    </row>
    <row r="30" spans="1:7">
      <c r="A30" s="4" t="s">
        <v>424</v>
      </c>
      <c r="B30" s="201" t="s">
        <v>413</v>
      </c>
      <c r="C30" s="201" t="s">
        <v>319</v>
      </c>
      <c r="D30" s="168">
        <v>51000</v>
      </c>
      <c r="E30" s="4" t="s">
        <v>426</v>
      </c>
      <c r="F30" s="189">
        <v>46042</v>
      </c>
    </row>
    <row r="31" spans="1:7">
      <c r="A31" s="4" t="s">
        <v>427</v>
      </c>
      <c r="B31" s="201" t="s">
        <v>439</v>
      </c>
      <c r="C31" s="4" t="s">
        <v>835</v>
      </c>
      <c r="D31" s="168">
        <v>50000</v>
      </c>
      <c r="E31" s="4" t="s">
        <v>437</v>
      </c>
      <c r="F31" s="189">
        <v>46045</v>
      </c>
    </row>
    <row r="32" spans="1:7">
      <c r="A32" s="4" t="s">
        <v>438</v>
      </c>
      <c r="B32" s="201" t="s">
        <v>389</v>
      </c>
      <c r="C32" s="4" t="s">
        <v>287</v>
      </c>
      <c r="D32" s="168">
        <v>50000</v>
      </c>
      <c r="E32" s="4" t="s">
        <v>450</v>
      </c>
      <c r="F32" s="189">
        <v>46046</v>
      </c>
    </row>
    <row r="33" spans="1:6">
      <c r="A33" s="4" t="s">
        <v>451</v>
      </c>
      <c r="B33" s="201" t="s">
        <v>385</v>
      </c>
      <c r="C33" s="4" t="s">
        <v>279</v>
      </c>
      <c r="D33" s="168">
        <v>307360</v>
      </c>
      <c r="E33" s="4" t="s">
        <v>452</v>
      </c>
      <c r="F33" s="189">
        <v>46046</v>
      </c>
    </row>
    <row r="34" spans="1:6">
      <c r="A34" s="4" t="s">
        <v>453</v>
      </c>
      <c r="B34" s="201" t="s">
        <v>421</v>
      </c>
      <c r="C34" s="4" t="s">
        <v>327</v>
      </c>
      <c r="D34" s="168">
        <v>100000</v>
      </c>
      <c r="E34" s="4" t="s">
        <v>454</v>
      </c>
      <c r="F34" s="189">
        <v>46047</v>
      </c>
    </row>
    <row r="35" spans="1:6">
      <c r="A35" s="4" t="s">
        <v>457</v>
      </c>
      <c r="B35" s="201" t="s">
        <v>420</v>
      </c>
      <c r="C35" s="4" t="s">
        <v>326</v>
      </c>
      <c r="D35" s="168">
        <v>375000</v>
      </c>
      <c r="E35" s="4" t="s">
        <v>456</v>
      </c>
      <c r="F35" s="189">
        <v>46047</v>
      </c>
    </row>
    <row r="36" spans="1:6">
      <c r="A36" s="4" t="s">
        <v>458</v>
      </c>
      <c r="B36" s="201" t="s">
        <v>491</v>
      </c>
      <c r="C36" s="4" t="s">
        <v>463</v>
      </c>
      <c r="D36" s="168">
        <v>11000</v>
      </c>
      <c r="E36" s="4" t="s">
        <v>487</v>
      </c>
      <c r="F36" s="189">
        <v>46047</v>
      </c>
    </row>
    <row r="37" spans="1:6">
      <c r="A37" s="4" t="s">
        <v>488</v>
      </c>
      <c r="B37" s="201" t="s">
        <v>491</v>
      </c>
      <c r="C37" s="4" t="s">
        <v>463</v>
      </c>
      <c r="D37" s="168">
        <v>80000</v>
      </c>
      <c r="E37" s="4" t="s">
        <v>489</v>
      </c>
      <c r="F37" s="189">
        <v>46048</v>
      </c>
    </row>
    <row r="38" spans="1:6">
      <c r="A38" s="4" t="s">
        <v>490</v>
      </c>
      <c r="B38" s="201" t="s">
        <v>496</v>
      </c>
      <c r="C38" s="4" t="s">
        <v>468</v>
      </c>
      <c r="D38" s="168">
        <v>50000</v>
      </c>
      <c r="E38" s="4" t="s">
        <v>492</v>
      </c>
      <c r="F38" s="189">
        <v>46048</v>
      </c>
    </row>
    <row r="39" spans="1:6">
      <c r="A39" s="4" t="s">
        <v>493</v>
      </c>
      <c r="B39" s="201" t="s">
        <v>496</v>
      </c>
      <c r="C39" s="4" t="s">
        <v>468</v>
      </c>
      <c r="D39" s="168">
        <v>40000</v>
      </c>
      <c r="E39" s="4" t="s">
        <v>494</v>
      </c>
      <c r="F39" s="189">
        <v>46048</v>
      </c>
    </row>
    <row r="40" spans="1:6">
      <c r="A40" s="4" t="s">
        <v>495</v>
      </c>
      <c r="B40" s="201" t="s">
        <v>499</v>
      </c>
      <c r="C40" s="4" t="s">
        <v>471</v>
      </c>
      <c r="D40" s="168">
        <v>200000</v>
      </c>
      <c r="E40" s="4" t="s">
        <v>497</v>
      </c>
      <c r="F40" s="189">
        <v>46048</v>
      </c>
    </row>
    <row r="41" spans="1:6">
      <c r="A41" s="4" t="s">
        <v>498</v>
      </c>
      <c r="B41" s="201" t="s">
        <v>390</v>
      </c>
      <c r="C41" s="4" t="s">
        <v>543</v>
      </c>
      <c r="D41" s="168">
        <v>200000</v>
      </c>
      <c r="E41" s="4" t="s">
        <v>545</v>
      </c>
      <c r="F41" s="189">
        <v>46055</v>
      </c>
    </row>
    <row r="42" spans="1:6">
      <c r="A42" s="4" t="s">
        <v>547</v>
      </c>
      <c r="B42" s="201" t="s">
        <v>548</v>
      </c>
      <c r="C42" s="4" t="s">
        <v>550</v>
      </c>
      <c r="D42" s="168">
        <v>200000</v>
      </c>
      <c r="E42" s="4" t="s">
        <v>549</v>
      </c>
      <c r="F42" s="189">
        <v>46055</v>
      </c>
    </row>
    <row r="43" spans="1:6">
      <c r="A43" s="4" t="s">
        <v>558</v>
      </c>
      <c r="B43" s="201" t="s">
        <v>557</v>
      </c>
      <c r="C43" s="4" t="s">
        <v>553</v>
      </c>
      <c r="D43" s="168">
        <v>100000</v>
      </c>
      <c r="E43" s="4" t="s">
        <v>556</v>
      </c>
      <c r="F43" s="189">
        <v>46058</v>
      </c>
    </row>
    <row r="44" spans="1:6">
      <c r="A44" s="4" t="s">
        <v>559</v>
      </c>
      <c r="B44" s="201" t="s">
        <v>569</v>
      </c>
      <c r="C44" s="4" t="s">
        <v>535</v>
      </c>
      <c r="D44" s="168">
        <v>116</v>
      </c>
      <c r="E44" s="4" t="s">
        <v>566</v>
      </c>
      <c r="F44" s="189">
        <v>46058</v>
      </c>
    </row>
    <row r="45" spans="1:6">
      <c r="A45" s="4" t="s">
        <v>565</v>
      </c>
      <c r="B45" s="201" t="s">
        <v>569</v>
      </c>
      <c r="C45" s="4" t="s">
        <v>535</v>
      </c>
      <c r="D45" s="168">
        <v>49000</v>
      </c>
      <c r="E45" s="4" t="s">
        <v>568</v>
      </c>
      <c r="F45" s="189">
        <v>46058</v>
      </c>
    </row>
    <row r="46" spans="1:6">
      <c r="A46" s="4" t="s">
        <v>567</v>
      </c>
      <c r="B46" s="201" t="s">
        <v>569</v>
      </c>
      <c r="C46" s="4" t="s">
        <v>535</v>
      </c>
      <c r="D46" s="168">
        <v>151000</v>
      </c>
      <c r="E46" s="4" t="s">
        <v>580</v>
      </c>
      <c r="F46" s="189">
        <v>46059</v>
      </c>
    </row>
    <row r="47" spans="1:6">
      <c r="A47" s="4" t="s">
        <v>581</v>
      </c>
      <c r="B47" s="201" t="s">
        <v>389</v>
      </c>
      <c r="C47" s="4" t="s">
        <v>287</v>
      </c>
      <c r="D47" s="168">
        <v>90000</v>
      </c>
      <c r="E47" s="4" t="s">
        <v>582</v>
      </c>
      <c r="F47" s="189">
        <v>46047</v>
      </c>
    </row>
    <row r="48" spans="1:6">
      <c r="A48" s="4" t="s">
        <v>583</v>
      </c>
      <c r="B48" s="201" t="s">
        <v>389</v>
      </c>
      <c r="C48" s="4" t="s">
        <v>287</v>
      </c>
      <c r="D48" s="168">
        <v>10000</v>
      </c>
      <c r="E48" s="4" t="s">
        <v>584</v>
      </c>
      <c r="F48" s="189">
        <v>46050</v>
      </c>
    </row>
    <row r="49" spans="1:6">
      <c r="A49" s="4" t="s">
        <v>585</v>
      </c>
      <c r="B49" s="201" t="s">
        <v>590</v>
      </c>
      <c r="C49" s="4" t="s">
        <v>544</v>
      </c>
      <c r="D49" s="168">
        <v>200000</v>
      </c>
      <c r="E49" s="4" t="s">
        <v>588</v>
      </c>
      <c r="F49" s="189">
        <v>46059</v>
      </c>
    </row>
    <row r="50" spans="1:6">
      <c r="A50" s="4" t="s">
        <v>589</v>
      </c>
      <c r="B50" s="201" t="s">
        <v>389</v>
      </c>
      <c r="C50" s="4" t="s">
        <v>287</v>
      </c>
      <c r="D50" s="168">
        <v>634900</v>
      </c>
      <c r="E50" s="4" t="s">
        <v>592</v>
      </c>
      <c r="F50" s="189">
        <v>46060</v>
      </c>
    </row>
    <row r="51" spans="1:6">
      <c r="A51" s="4" t="s">
        <v>593</v>
      </c>
      <c r="B51" s="201" t="s">
        <v>385</v>
      </c>
      <c r="C51" s="4" t="s">
        <v>279</v>
      </c>
      <c r="D51" s="168">
        <v>1522080</v>
      </c>
      <c r="E51" s="4" t="s">
        <v>653</v>
      </c>
      <c r="F51" s="189">
        <v>46026</v>
      </c>
    </row>
    <row r="52" spans="1:6">
      <c r="A52" s="4" t="s">
        <v>654</v>
      </c>
      <c r="B52" s="201" t="s">
        <v>663</v>
      </c>
      <c r="C52" s="4" t="s">
        <v>575</v>
      </c>
      <c r="D52" s="168">
        <v>200000</v>
      </c>
      <c r="E52" s="4" t="s">
        <v>662</v>
      </c>
      <c r="F52" s="189">
        <v>46057</v>
      </c>
    </row>
    <row r="53" spans="1:6">
      <c r="A53" s="4" t="s">
        <v>664</v>
      </c>
      <c r="B53" s="201" t="s">
        <v>663</v>
      </c>
      <c r="C53" s="4" t="s">
        <v>683</v>
      </c>
      <c r="D53" s="168">
        <v>830575</v>
      </c>
      <c r="E53" s="4" t="s">
        <v>688</v>
      </c>
      <c r="F53" s="189">
        <v>46069</v>
      </c>
    </row>
    <row r="54" spans="1:6">
      <c r="A54" s="4" t="s">
        <v>689</v>
      </c>
      <c r="B54" s="201" t="s">
        <v>420</v>
      </c>
      <c r="C54" s="4" t="s">
        <v>485</v>
      </c>
      <c r="D54" s="168">
        <v>54181</v>
      </c>
      <c r="E54" s="4" t="s">
        <v>691</v>
      </c>
      <c r="F54" s="189">
        <v>46053</v>
      </c>
    </row>
    <row r="55" spans="1:6">
      <c r="A55" s="4" t="s">
        <v>692</v>
      </c>
      <c r="B55" s="201" t="s">
        <v>421</v>
      </c>
      <c r="C55" s="4" t="s">
        <v>327</v>
      </c>
      <c r="D55" s="168">
        <v>375000</v>
      </c>
      <c r="E55" s="4" t="s">
        <v>694</v>
      </c>
      <c r="F55" s="189">
        <v>46052</v>
      </c>
    </row>
    <row r="56" spans="1:6">
      <c r="A56" s="4" t="s">
        <v>695</v>
      </c>
      <c r="B56" s="201" t="s">
        <v>395</v>
      </c>
      <c r="C56" s="4" t="s">
        <v>698</v>
      </c>
      <c r="D56" s="168">
        <v>200000</v>
      </c>
      <c r="E56" s="4" t="s">
        <v>706</v>
      </c>
      <c r="F56" s="189">
        <v>46068</v>
      </c>
    </row>
    <row r="57" spans="1:6">
      <c r="A57" s="4" t="s">
        <v>707</v>
      </c>
      <c r="B57" s="201" t="s">
        <v>496</v>
      </c>
      <c r="C57" s="4" t="s">
        <v>613</v>
      </c>
      <c r="D57" s="168">
        <v>10000</v>
      </c>
      <c r="E57" s="4" t="s">
        <v>709</v>
      </c>
      <c r="F57" s="189">
        <v>46070</v>
      </c>
    </row>
    <row r="58" spans="1:6">
      <c r="A58" s="4" t="s">
        <v>708</v>
      </c>
      <c r="B58" s="201" t="s">
        <v>496</v>
      </c>
      <c r="C58" s="4" t="s">
        <v>613</v>
      </c>
      <c r="D58" s="168">
        <v>100000</v>
      </c>
      <c r="E58" s="4" t="s">
        <v>710</v>
      </c>
      <c r="F58" s="189">
        <v>46070</v>
      </c>
    </row>
    <row r="59" spans="1:6">
      <c r="A59" s="4" t="s">
        <v>711</v>
      </c>
      <c r="B59" s="201" t="s">
        <v>359</v>
      </c>
      <c r="C59" s="4" t="s">
        <v>639</v>
      </c>
      <c r="D59" s="168">
        <v>80000</v>
      </c>
      <c r="E59" s="4" t="s">
        <v>713</v>
      </c>
      <c r="F59" s="189">
        <v>46035</v>
      </c>
    </row>
    <row r="60" spans="1:6">
      <c r="A60" s="4" t="s">
        <v>712</v>
      </c>
      <c r="B60" s="201" t="s">
        <v>359</v>
      </c>
      <c r="C60" s="4" t="s">
        <v>639</v>
      </c>
      <c r="D60" s="168">
        <v>20000</v>
      </c>
      <c r="E60" s="4" t="s">
        <v>362</v>
      </c>
      <c r="F60" s="189">
        <v>46035</v>
      </c>
    </row>
    <row r="61" spans="1:6">
      <c r="A61" s="4" t="s">
        <v>714</v>
      </c>
      <c r="B61" s="201" t="s">
        <v>359</v>
      </c>
      <c r="C61" s="4" t="s">
        <v>639</v>
      </c>
      <c r="D61" s="168">
        <v>100000</v>
      </c>
      <c r="E61" s="4" t="s">
        <v>717</v>
      </c>
      <c r="F61" s="189">
        <v>46068</v>
      </c>
    </row>
    <row r="62" spans="1:6">
      <c r="A62" s="4" t="s">
        <v>715</v>
      </c>
      <c r="B62" s="201" t="s">
        <v>359</v>
      </c>
      <c r="C62" s="4" t="s">
        <v>639</v>
      </c>
      <c r="D62" s="168">
        <v>100000</v>
      </c>
      <c r="E62" s="4" t="s">
        <v>716</v>
      </c>
      <c r="F62" s="189">
        <v>46069</v>
      </c>
    </row>
    <row r="63" spans="1:6">
      <c r="A63" s="4" t="s">
        <v>718</v>
      </c>
      <c r="B63" s="201" t="s">
        <v>402</v>
      </c>
      <c r="C63" s="4" t="s">
        <v>266</v>
      </c>
      <c r="D63" s="168">
        <v>279613</v>
      </c>
      <c r="E63" s="4" t="s">
        <v>720</v>
      </c>
      <c r="F63" s="189">
        <v>46066</v>
      </c>
    </row>
    <row r="64" spans="1:6">
      <c r="A64" s="4" t="s">
        <v>721</v>
      </c>
      <c r="B64" s="201" t="s">
        <v>369</v>
      </c>
      <c r="C64" s="4" t="s">
        <v>282</v>
      </c>
      <c r="D64" s="168">
        <v>100000</v>
      </c>
      <c r="E64" s="4" t="s">
        <v>723</v>
      </c>
      <c r="F64" s="189">
        <v>46069</v>
      </c>
    </row>
    <row r="65" spans="1:6">
      <c r="A65" s="4" t="s">
        <v>724</v>
      </c>
      <c r="B65" s="201" t="s">
        <v>369</v>
      </c>
      <c r="C65" s="4" t="s">
        <v>282</v>
      </c>
      <c r="D65" s="168">
        <v>100000</v>
      </c>
      <c r="E65" s="4" t="s">
        <v>725</v>
      </c>
      <c r="F65" s="189">
        <v>46070</v>
      </c>
    </row>
    <row r="66" spans="1:6">
      <c r="A66" s="4" t="s">
        <v>726</v>
      </c>
      <c r="B66" s="201" t="s">
        <v>557</v>
      </c>
      <c r="C66" s="4" t="s">
        <v>553</v>
      </c>
      <c r="D66" s="168">
        <v>970213</v>
      </c>
      <c r="E66" s="4" t="s">
        <v>735</v>
      </c>
      <c r="F66" s="189">
        <v>46072</v>
      </c>
    </row>
    <row r="67" spans="1:6">
      <c r="A67" s="4" t="s">
        <v>736</v>
      </c>
      <c r="B67" s="201" t="s">
        <v>395</v>
      </c>
      <c r="C67" s="4" t="s">
        <v>698</v>
      </c>
      <c r="D67" s="168">
        <v>317729</v>
      </c>
      <c r="E67" s="4" t="s">
        <v>738</v>
      </c>
      <c r="F67" s="189">
        <v>46072</v>
      </c>
    </row>
    <row r="68" spans="1:6">
      <c r="A68" s="4" t="s">
        <v>740</v>
      </c>
      <c r="B68" s="201" t="s">
        <v>359</v>
      </c>
      <c r="C68" s="4" t="s">
        <v>639</v>
      </c>
      <c r="D68" s="168">
        <v>95495</v>
      </c>
      <c r="E68" s="4" t="s">
        <v>739</v>
      </c>
      <c r="F68" s="189">
        <v>46070</v>
      </c>
    </row>
    <row r="69" spans="1:6">
      <c r="A69" s="4" t="s">
        <v>743</v>
      </c>
      <c r="B69" s="201" t="s">
        <v>744</v>
      </c>
      <c r="C69" s="4" t="s">
        <v>560</v>
      </c>
      <c r="D69" s="168">
        <v>200000</v>
      </c>
      <c r="E69" s="4" t="s">
        <v>746</v>
      </c>
      <c r="F69" s="189">
        <v>46059</v>
      </c>
    </row>
    <row r="70" spans="1:6">
      <c r="A70" s="4" t="s">
        <v>745</v>
      </c>
      <c r="B70" s="201" t="s">
        <v>744</v>
      </c>
      <c r="C70" s="4" t="s">
        <v>560</v>
      </c>
      <c r="D70" s="168">
        <v>836035</v>
      </c>
      <c r="E70" s="4" t="s">
        <v>742</v>
      </c>
      <c r="F70" s="189">
        <v>46072</v>
      </c>
    </row>
    <row r="71" spans="1:6">
      <c r="A71" s="4" t="s">
        <v>747</v>
      </c>
      <c r="B71" s="201" t="s">
        <v>420</v>
      </c>
      <c r="C71" s="4" t="s">
        <v>485</v>
      </c>
      <c r="D71" s="168">
        <v>3494263</v>
      </c>
      <c r="E71" s="4" t="s">
        <v>754</v>
      </c>
      <c r="F71" s="189">
        <v>46073</v>
      </c>
    </row>
    <row r="72" spans="1:6">
      <c r="A72" s="4" t="s">
        <v>752</v>
      </c>
      <c r="B72" s="201" t="s">
        <v>421</v>
      </c>
      <c r="C72" s="4" t="s">
        <v>327</v>
      </c>
      <c r="D72" s="168">
        <v>3494263</v>
      </c>
      <c r="E72" s="4" t="s">
        <v>753</v>
      </c>
      <c r="F72" s="189">
        <v>46073</v>
      </c>
    </row>
    <row r="73" spans="1:6">
      <c r="A73" s="4" t="s">
        <v>755</v>
      </c>
      <c r="B73" s="201" t="s">
        <v>548</v>
      </c>
      <c r="C73" s="4" t="s">
        <v>762</v>
      </c>
      <c r="D73" s="168">
        <v>10000</v>
      </c>
      <c r="E73" s="4" t="s">
        <v>771</v>
      </c>
      <c r="F73" s="189">
        <v>46073</v>
      </c>
    </row>
    <row r="74" spans="1:6">
      <c r="A74" s="4" t="s">
        <v>772</v>
      </c>
      <c r="B74" s="201" t="s">
        <v>590</v>
      </c>
      <c r="C74" s="4" t="s">
        <v>787</v>
      </c>
      <c r="D74" s="168">
        <v>98000</v>
      </c>
      <c r="E74" s="4" t="s">
        <v>796</v>
      </c>
      <c r="F74" s="189">
        <v>46075</v>
      </c>
    </row>
    <row r="75" spans="1:6">
      <c r="A75" s="4" t="s">
        <v>797</v>
      </c>
      <c r="B75" s="201" t="s">
        <v>590</v>
      </c>
      <c r="C75" s="4" t="s">
        <v>787</v>
      </c>
      <c r="D75" s="168">
        <v>102000</v>
      </c>
      <c r="E75" s="4" t="s">
        <v>798</v>
      </c>
      <c r="F75" s="189">
        <v>46075</v>
      </c>
    </row>
    <row r="76" spans="1:6">
      <c r="A76" s="4" t="s">
        <v>799</v>
      </c>
      <c r="B76" s="201" t="s">
        <v>496</v>
      </c>
      <c r="C76" s="4" t="s">
        <v>613</v>
      </c>
      <c r="D76" s="168">
        <v>300000</v>
      </c>
      <c r="E76" s="4" t="s">
        <v>801</v>
      </c>
      <c r="F76" s="189">
        <v>46071</v>
      </c>
    </row>
    <row r="77" spans="1:6">
      <c r="A77" s="4" t="s">
        <v>803</v>
      </c>
      <c r="B77" s="201" t="s">
        <v>496</v>
      </c>
      <c r="C77" s="4" t="s">
        <v>613</v>
      </c>
      <c r="D77" s="168">
        <v>1000</v>
      </c>
      <c r="E77" s="4" t="s">
        <v>805</v>
      </c>
      <c r="F77" s="189">
        <v>46075</v>
      </c>
    </row>
    <row r="78" spans="1:6">
      <c r="A78" s="4" t="s">
        <v>804</v>
      </c>
      <c r="B78" s="201" t="s">
        <v>496</v>
      </c>
      <c r="C78" s="4" t="s">
        <v>613</v>
      </c>
      <c r="D78" s="168">
        <v>449000</v>
      </c>
      <c r="E78" s="4" t="s">
        <v>806</v>
      </c>
      <c r="F78" s="189">
        <v>46075</v>
      </c>
    </row>
    <row r="79" spans="1:6">
      <c r="A79" s="4" t="s">
        <v>807</v>
      </c>
      <c r="B79" s="201" t="s">
        <v>491</v>
      </c>
      <c r="C79" s="4" t="s">
        <v>677</v>
      </c>
      <c r="D79" s="168">
        <v>9000</v>
      </c>
      <c r="E79" s="4" t="s">
        <v>808</v>
      </c>
      <c r="F79" s="189">
        <v>46048</v>
      </c>
    </row>
    <row r="80" spans="1:6">
      <c r="A80" s="4" t="s">
        <v>809</v>
      </c>
      <c r="B80" s="201" t="s">
        <v>491</v>
      </c>
      <c r="C80" s="4" t="s">
        <v>677</v>
      </c>
      <c r="D80" s="168">
        <v>500000</v>
      </c>
      <c r="E80" s="4" t="s">
        <v>811</v>
      </c>
      <c r="F80" s="189">
        <v>46058</v>
      </c>
    </row>
    <row r="81" spans="1:16">
      <c r="A81" s="4" t="s">
        <v>810</v>
      </c>
      <c r="B81" s="201" t="s">
        <v>491</v>
      </c>
      <c r="C81" s="4" t="s">
        <v>677</v>
      </c>
      <c r="D81" s="168">
        <v>538138</v>
      </c>
      <c r="E81" s="4" t="s">
        <v>812</v>
      </c>
      <c r="F81" s="189">
        <v>46067</v>
      </c>
    </row>
    <row r="82" spans="1:16">
      <c r="A82" s="4" t="s">
        <v>813</v>
      </c>
      <c r="B82" s="201" t="s">
        <v>819</v>
      </c>
      <c r="C82" s="4" t="s">
        <v>814</v>
      </c>
      <c r="D82" s="168">
        <v>50000</v>
      </c>
      <c r="E82" s="4" t="s">
        <v>817</v>
      </c>
      <c r="F82" s="189">
        <v>46076</v>
      </c>
    </row>
    <row r="83" spans="1:16">
      <c r="A83" s="4" t="s">
        <v>818</v>
      </c>
      <c r="B83" s="201" t="s">
        <v>245</v>
      </c>
      <c r="C83" s="4" t="s">
        <v>205</v>
      </c>
      <c r="D83" s="168">
        <v>295495</v>
      </c>
      <c r="E83" s="4" t="s">
        <v>823</v>
      </c>
      <c r="F83" s="189">
        <v>46067</v>
      </c>
    </row>
    <row r="84" spans="1:16">
      <c r="A84" s="4" t="s">
        <v>824</v>
      </c>
      <c r="B84" s="201" t="s">
        <v>406</v>
      </c>
      <c r="C84" s="4" t="s">
        <v>273</v>
      </c>
      <c r="D84" s="168">
        <v>117728</v>
      </c>
      <c r="E84" s="4" t="s">
        <v>825</v>
      </c>
      <c r="F84" s="189">
        <v>46067</v>
      </c>
    </row>
    <row r="85" spans="1:16">
      <c r="A85" s="4" t="s">
        <v>826</v>
      </c>
      <c r="B85" s="201" t="s">
        <v>828</v>
      </c>
      <c r="C85" s="4" t="s">
        <v>273</v>
      </c>
      <c r="D85" s="168">
        <v>401796</v>
      </c>
      <c r="E85" s="4" t="s">
        <v>827</v>
      </c>
      <c r="F85" s="189">
        <v>46067</v>
      </c>
    </row>
    <row r="86" spans="1:16">
      <c r="A86" s="4" t="s">
        <v>829</v>
      </c>
      <c r="B86" s="201" t="s">
        <v>376</v>
      </c>
      <c r="C86" s="4" t="s">
        <v>205</v>
      </c>
      <c r="D86" s="168">
        <v>201796</v>
      </c>
      <c r="E86" s="4" t="s">
        <v>830</v>
      </c>
      <c r="F86" s="189">
        <v>46067</v>
      </c>
    </row>
    <row r="87" spans="1:16">
      <c r="A87" s="4" t="s">
        <v>831</v>
      </c>
      <c r="B87" s="201" t="s">
        <v>819</v>
      </c>
      <c r="C87" s="4" t="s">
        <v>814</v>
      </c>
      <c r="D87" s="168">
        <v>50000</v>
      </c>
      <c r="E87" s="4" t="s">
        <v>833</v>
      </c>
      <c r="F87" s="189">
        <v>46077</v>
      </c>
    </row>
    <row r="88" spans="1:16">
      <c r="A88" s="4" t="s">
        <v>834</v>
      </c>
      <c r="B88" s="201" t="s">
        <v>569</v>
      </c>
      <c r="C88" s="4" t="s">
        <v>535</v>
      </c>
      <c r="D88" s="168">
        <v>676529</v>
      </c>
      <c r="E88" s="4" t="s">
        <v>840</v>
      </c>
      <c r="F88" s="189">
        <v>46078</v>
      </c>
    </row>
    <row r="89" spans="1:16">
      <c r="A89" s="4" t="s">
        <v>839</v>
      </c>
      <c r="B89" s="201" t="s">
        <v>244</v>
      </c>
      <c r="C89" s="4" t="s">
        <v>234</v>
      </c>
      <c r="D89" s="168">
        <v>201796</v>
      </c>
      <c r="E89" s="4" t="s">
        <v>843</v>
      </c>
      <c r="F89" s="189">
        <v>46066</v>
      </c>
    </row>
    <row r="90" spans="1:16">
      <c r="A90" s="4" t="s">
        <v>844</v>
      </c>
      <c r="B90" s="201" t="s">
        <v>402</v>
      </c>
      <c r="C90" s="4" t="s">
        <v>266</v>
      </c>
      <c r="D90" s="168">
        <v>2978297</v>
      </c>
      <c r="E90" s="4" t="s">
        <v>850</v>
      </c>
      <c r="F90" s="189">
        <v>46079</v>
      </c>
    </row>
    <row r="91" spans="1:16">
      <c r="A91" s="4" t="s">
        <v>851</v>
      </c>
      <c r="B91" s="201" t="s">
        <v>590</v>
      </c>
      <c r="C91" s="4" t="s">
        <v>787</v>
      </c>
      <c r="D91" s="168">
        <v>1526725</v>
      </c>
      <c r="E91" s="4" t="s">
        <v>852</v>
      </c>
      <c r="F91" s="189">
        <v>46080</v>
      </c>
    </row>
    <row r="92" spans="1:16">
      <c r="A92" s="4" t="s">
        <v>853</v>
      </c>
      <c r="B92" s="201" t="s">
        <v>390</v>
      </c>
      <c r="C92" s="4" t="s">
        <v>543</v>
      </c>
      <c r="D92" s="168">
        <v>676645</v>
      </c>
      <c r="E92" s="4" t="s">
        <v>855</v>
      </c>
      <c r="F92" s="189">
        <v>46080</v>
      </c>
    </row>
    <row r="93" spans="1:16">
      <c r="A93" s="4" t="s">
        <v>856</v>
      </c>
      <c r="B93" s="201" t="s">
        <v>439</v>
      </c>
      <c r="C93" s="4" t="s">
        <v>835</v>
      </c>
      <c r="D93" s="168">
        <v>1079590</v>
      </c>
      <c r="E93" s="4" t="s">
        <v>859</v>
      </c>
      <c r="F93" s="189">
        <v>46080</v>
      </c>
    </row>
    <row r="94" spans="1:16">
      <c r="A94" s="4" t="s">
        <v>860</v>
      </c>
      <c r="B94" s="201" t="s">
        <v>395</v>
      </c>
      <c r="C94" s="4" t="s">
        <v>698</v>
      </c>
      <c r="D94" s="168">
        <v>3624101</v>
      </c>
      <c r="E94" s="4" t="s">
        <v>862</v>
      </c>
      <c r="F94" s="189">
        <v>46080</v>
      </c>
    </row>
    <row r="95" spans="1:16">
      <c r="A95" s="4" t="s">
        <v>863</v>
      </c>
      <c r="B95" s="201" t="s">
        <v>244</v>
      </c>
      <c r="C95" s="4" t="s">
        <v>234</v>
      </c>
      <c r="D95" s="168">
        <v>2812569</v>
      </c>
      <c r="E95" s="4" t="s">
        <v>865</v>
      </c>
      <c r="F95" s="189">
        <v>46080</v>
      </c>
    </row>
    <row r="96" spans="1:16">
      <c r="A96" s="4" t="s">
        <v>867</v>
      </c>
      <c r="B96" s="201" t="s">
        <v>376</v>
      </c>
      <c r="C96" s="4" t="s">
        <v>205</v>
      </c>
      <c r="D96" s="168">
        <v>3468465</v>
      </c>
      <c r="E96" s="4" t="s">
        <v>866</v>
      </c>
      <c r="F96" s="189">
        <v>46080</v>
      </c>
      <c r="L96" s="4" t="s">
        <v>106</v>
      </c>
      <c r="P96" s="4" t="s">
        <v>106</v>
      </c>
    </row>
    <row r="97" spans="1:6">
      <c r="A97" s="4" t="s">
        <v>869</v>
      </c>
      <c r="B97" s="201" t="s">
        <v>245</v>
      </c>
      <c r="C97" s="4" t="s">
        <v>205</v>
      </c>
      <c r="D97" s="168">
        <v>2812569</v>
      </c>
      <c r="E97" s="4" t="s">
        <v>871</v>
      </c>
      <c r="F97" s="189">
        <v>46080</v>
      </c>
    </row>
    <row r="98" spans="1:6">
      <c r="A98" s="4" t="s">
        <v>872</v>
      </c>
    </row>
    <row r="99" spans="1:6">
      <c r="A99" s="4" t="s">
        <v>877</v>
      </c>
      <c r="B99" s="201" t="s">
        <v>885</v>
      </c>
      <c r="C99" s="4" t="s">
        <v>881</v>
      </c>
      <c r="D99" s="168">
        <v>50000</v>
      </c>
      <c r="E99" s="4" t="s">
        <v>886</v>
      </c>
      <c r="F99" s="189">
        <v>46082</v>
      </c>
    </row>
    <row r="100" spans="1:6">
      <c r="A100" s="4" t="s">
        <v>878</v>
      </c>
      <c r="B100" s="201" t="s">
        <v>885</v>
      </c>
      <c r="C100" s="4" t="s">
        <v>881</v>
      </c>
      <c r="D100" s="168">
        <v>50000</v>
      </c>
      <c r="E100" s="4" t="s">
        <v>887</v>
      </c>
      <c r="F100" s="189">
        <v>46083</v>
      </c>
    </row>
    <row r="101" spans="1:6">
      <c r="A101" s="4" t="s">
        <v>884</v>
      </c>
      <c r="B101" s="201" t="s">
        <v>888</v>
      </c>
      <c r="C101" s="4" t="s">
        <v>889</v>
      </c>
      <c r="D101" s="168">
        <v>200000</v>
      </c>
      <c r="E101" s="4" t="s">
        <v>1027</v>
      </c>
      <c r="F101" s="189">
        <v>46083</v>
      </c>
    </row>
    <row r="102" spans="1:6">
      <c r="A102" s="4" t="s">
        <v>906</v>
      </c>
      <c r="B102" s="201" t="s">
        <v>907</v>
      </c>
      <c r="C102" s="4" t="s">
        <v>904</v>
      </c>
      <c r="D102" s="168">
        <v>80000</v>
      </c>
      <c r="E102" s="4" t="s">
        <v>908</v>
      </c>
      <c r="F102" s="189">
        <v>46084</v>
      </c>
    </row>
    <row r="103" spans="1:6">
      <c r="A103" s="4" t="s">
        <v>909</v>
      </c>
      <c r="B103" s="201" t="s">
        <v>907</v>
      </c>
      <c r="C103" s="4" t="s">
        <v>904</v>
      </c>
      <c r="D103" s="168">
        <v>20000</v>
      </c>
      <c r="E103" s="4" t="s">
        <v>910</v>
      </c>
      <c r="F103" s="189">
        <v>46084</v>
      </c>
    </row>
    <row r="104" spans="1:6">
      <c r="A104" s="4" t="s">
        <v>911</v>
      </c>
      <c r="B104" s="201" t="s">
        <v>499</v>
      </c>
      <c r="C104" s="4" t="s">
        <v>847</v>
      </c>
      <c r="D104" s="168">
        <v>1861150</v>
      </c>
      <c r="E104" s="4" t="s">
        <v>929</v>
      </c>
      <c r="F104" s="189">
        <v>46085</v>
      </c>
    </row>
    <row r="105" spans="1:6">
      <c r="A105" s="4" t="s">
        <v>928</v>
      </c>
      <c r="B105" s="201" t="s">
        <v>385</v>
      </c>
      <c r="C105" s="4" t="s">
        <v>279</v>
      </c>
      <c r="D105" s="168">
        <v>2029440</v>
      </c>
      <c r="E105" s="4" t="s">
        <v>931</v>
      </c>
      <c r="F105" s="189">
        <v>46085</v>
      </c>
    </row>
    <row r="106" spans="1:6">
      <c r="A106" s="4" t="s">
        <v>932</v>
      </c>
      <c r="B106" s="201" t="s">
        <v>369</v>
      </c>
      <c r="C106" s="4" t="s">
        <v>282</v>
      </c>
      <c r="D106" s="168">
        <v>100000</v>
      </c>
      <c r="E106" s="4" t="s">
        <v>934</v>
      </c>
      <c r="F106" s="189">
        <v>46071</v>
      </c>
    </row>
    <row r="107" spans="1:6">
      <c r="A107" s="4" t="s">
        <v>935</v>
      </c>
    </row>
    <row r="108" spans="1:6">
      <c r="A108" s="4" t="s">
        <v>943</v>
      </c>
      <c r="B108" s="201" t="s">
        <v>439</v>
      </c>
      <c r="C108" s="4" t="s">
        <v>835</v>
      </c>
      <c r="D108" s="168">
        <v>2259180</v>
      </c>
      <c r="E108" s="4" t="s">
        <v>944</v>
      </c>
      <c r="F108" s="189">
        <v>46090</v>
      </c>
    </row>
    <row r="109" spans="1:6">
      <c r="A109" s="4" t="s">
        <v>948</v>
      </c>
      <c r="B109" s="201" t="s">
        <v>379</v>
      </c>
      <c r="C109" s="4" t="s">
        <v>668</v>
      </c>
      <c r="D109" s="168">
        <v>317728</v>
      </c>
      <c r="E109" s="4" t="s">
        <v>947</v>
      </c>
      <c r="F109" s="189">
        <v>46071</v>
      </c>
    </row>
    <row r="110" spans="1:6">
      <c r="A110" s="4" t="s">
        <v>949</v>
      </c>
      <c r="B110" s="201" t="s">
        <v>413</v>
      </c>
      <c r="C110" s="4" t="s">
        <v>319</v>
      </c>
      <c r="D110" s="168">
        <v>1</v>
      </c>
      <c r="E110" s="4" t="s">
        <v>955</v>
      </c>
      <c r="F110" s="189">
        <v>46090</v>
      </c>
    </row>
    <row r="111" spans="1:6">
      <c r="A111" s="4" t="s">
        <v>956</v>
      </c>
      <c r="B111" s="201" t="s">
        <v>413</v>
      </c>
      <c r="C111" s="4" t="s">
        <v>319</v>
      </c>
      <c r="D111" s="168">
        <v>99999</v>
      </c>
      <c r="E111" s="4" t="s">
        <v>957</v>
      </c>
      <c r="F111" s="189">
        <v>46093</v>
      </c>
    </row>
    <row r="112" spans="1:6">
      <c r="A112" s="4" t="s">
        <v>958</v>
      </c>
      <c r="B112" s="201" t="s">
        <v>413</v>
      </c>
      <c r="C112" s="4" t="s">
        <v>319</v>
      </c>
      <c r="D112" s="168">
        <v>99999</v>
      </c>
      <c r="E112" s="4" t="s">
        <v>962</v>
      </c>
      <c r="F112" s="189">
        <v>46093</v>
      </c>
    </row>
    <row r="113" spans="1:6">
      <c r="A113" s="4" t="s">
        <v>959</v>
      </c>
      <c r="B113" s="201" t="s">
        <v>413</v>
      </c>
      <c r="C113" s="4" t="s">
        <v>319</v>
      </c>
      <c r="D113" s="168">
        <v>99999</v>
      </c>
      <c r="E113" s="4" t="s">
        <v>963</v>
      </c>
      <c r="F113" s="189">
        <v>46093</v>
      </c>
    </row>
    <row r="114" spans="1:6">
      <c r="A114" s="4" t="s">
        <v>960</v>
      </c>
      <c r="B114" s="201" t="s">
        <v>413</v>
      </c>
      <c r="C114" s="4" t="s">
        <v>319</v>
      </c>
      <c r="D114" s="168">
        <v>99999</v>
      </c>
      <c r="E114" s="4" t="s">
        <v>964</v>
      </c>
      <c r="F114" s="189">
        <v>46093</v>
      </c>
    </row>
    <row r="115" spans="1:6">
      <c r="A115" s="4" t="s">
        <v>961</v>
      </c>
      <c r="B115" s="201" t="s">
        <v>413</v>
      </c>
      <c r="C115" s="4" t="s">
        <v>319</v>
      </c>
      <c r="D115" s="168">
        <v>99999</v>
      </c>
      <c r="E115" s="4" t="s">
        <v>965</v>
      </c>
      <c r="F115" s="189">
        <v>46093</v>
      </c>
    </row>
    <row r="116" spans="1:6">
      <c r="A116" s="4" t="s">
        <v>966</v>
      </c>
      <c r="B116" s="201" t="s">
        <v>393</v>
      </c>
      <c r="C116" s="4" t="s">
        <v>289</v>
      </c>
      <c r="D116" s="168">
        <v>1800000</v>
      </c>
      <c r="E116" s="4" t="s">
        <v>968</v>
      </c>
      <c r="F116" s="189">
        <v>46055</v>
      </c>
    </row>
    <row r="117" spans="1:6">
      <c r="A117" s="4" t="s">
        <v>969</v>
      </c>
      <c r="B117" s="201" t="s">
        <v>393</v>
      </c>
      <c r="C117" s="4" t="s">
        <v>289</v>
      </c>
      <c r="D117" s="168">
        <v>2081350</v>
      </c>
      <c r="E117" s="4" t="s">
        <v>971</v>
      </c>
      <c r="F117" s="189">
        <v>46093</v>
      </c>
    </row>
    <row r="118" spans="1:6" ht="15.75">
      <c r="A118" s="4" t="s">
        <v>972</v>
      </c>
      <c r="B118" s="201" t="s">
        <v>379</v>
      </c>
      <c r="C118" s="4" t="s">
        <v>668</v>
      </c>
      <c r="D118" s="168">
        <v>3624102</v>
      </c>
      <c r="E118" s="173" t="s">
        <v>973</v>
      </c>
      <c r="F118" s="236">
        <v>46094</v>
      </c>
    </row>
    <row r="119" spans="1:6">
      <c r="A119" s="4" t="s">
        <v>981</v>
      </c>
      <c r="B119" s="201" t="s">
        <v>389</v>
      </c>
      <c r="C119" s="4" t="s">
        <v>287</v>
      </c>
      <c r="D119" s="168">
        <v>2504700</v>
      </c>
      <c r="E119" s="4" t="s">
        <v>980</v>
      </c>
      <c r="F119" s="189">
        <v>46094</v>
      </c>
    </row>
    <row r="120" spans="1:6">
      <c r="A120" s="4" t="s">
        <v>983</v>
      </c>
      <c r="B120" s="201" t="s">
        <v>406</v>
      </c>
      <c r="C120" s="4" t="s">
        <v>273</v>
      </c>
      <c r="D120" s="168">
        <v>3624102</v>
      </c>
      <c r="E120" s="4" t="s">
        <v>984</v>
      </c>
      <c r="F120" s="189">
        <v>46094</v>
      </c>
    </row>
    <row r="121" spans="1:6">
      <c r="A121" s="4" t="s">
        <v>986</v>
      </c>
      <c r="B121" s="201" t="s">
        <v>413</v>
      </c>
      <c r="C121" s="4" t="s">
        <v>319</v>
      </c>
      <c r="D121" s="168">
        <v>99999</v>
      </c>
      <c r="E121" s="4" t="s">
        <v>985</v>
      </c>
      <c r="F121" s="189">
        <v>46094</v>
      </c>
    </row>
    <row r="122" spans="1:6">
      <c r="A122" s="4" t="s">
        <v>988</v>
      </c>
      <c r="B122" s="201" t="s">
        <v>204</v>
      </c>
      <c r="C122" s="4" t="s">
        <v>989</v>
      </c>
      <c r="D122" s="168">
        <v>90000</v>
      </c>
      <c r="E122" s="4" t="s">
        <v>990</v>
      </c>
      <c r="F122" s="189">
        <v>46095</v>
      </c>
    </row>
    <row r="123" spans="1:6">
      <c r="A123" s="4" t="s">
        <v>994</v>
      </c>
      <c r="B123" s="201" t="s">
        <v>204</v>
      </c>
      <c r="C123" s="4" t="s">
        <v>989</v>
      </c>
      <c r="D123" s="168">
        <v>110000</v>
      </c>
      <c r="E123" s="4" t="s">
        <v>1004</v>
      </c>
      <c r="F123" s="189">
        <v>46096</v>
      </c>
    </row>
    <row r="124" spans="1:6">
      <c r="A124" s="4" t="s">
        <v>997</v>
      </c>
      <c r="B124" s="201" t="s">
        <v>499</v>
      </c>
      <c r="C124" s="168" t="s">
        <v>847</v>
      </c>
      <c r="D124" s="168">
        <v>2061150</v>
      </c>
      <c r="E124" s="4" t="s">
        <v>998</v>
      </c>
      <c r="F124" s="189">
        <v>46097</v>
      </c>
    </row>
    <row r="125" spans="1:6">
      <c r="A125" s="4" t="s">
        <v>999</v>
      </c>
      <c r="B125" s="201" t="s">
        <v>369</v>
      </c>
      <c r="C125" s="4" t="s">
        <v>282</v>
      </c>
      <c r="D125" s="168">
        <v>3463960</v>
      </c>
      <c r="E125" s="4" t="s">
        <v>1000</v>
      </c>
      <c r="F125" s="189">
        <v>46097</v>
      </c>
    </row>
    <row r="126" spans="1:6">
      <c r="A126" s="4" t="s">
        <v>1001</v>
      </c>
      <c r="B126" s="201" t="s">
        <v>888</v>
      </c>
      <c r="C126" s="4" t="s">
        <v>889</v>
      </c>
      <c r="D126" s="168">
        <v>882375</v>
      </c>
      <c r="E126" s="4" t="s">
        <v>1003</v>
      </c>
      <c r="F126" s="189">
        <v>46098</v>
      </c>
    </row>
    <row r="127" spans="1:6">
      <c r="A127" s="4" t="s">
        <v>1005</v>
      </c>
      <c r="B127" s="201" t="s">
        <v>663</v>
      </c>
      <c r="C127" s="4" t="s">
        <v>683</v>
      </c>
      <c r="D127" s="168">
        <v>772932</v>
      </c>
      <c r="E127" s="4" t="s">
        <v>1025</v>
      </c>
      <c r="F127" s="189">
        <v>46098</v>
      </c>
    </row>
    <row r="128" spans="1:6">
      <c r="A128" s="4" t="s">
        <v>1024</v>
      </c>
      <c r="B128" s="201" t="s">
        <v>663</v>
      </c>
      <c r="C128" s="4" t="s">
        <v>683</v>
      </c>
      <c r="D128" s="168">
        <v>772932</v>
      </c>
      <c r="E128" s="4" t="s">
        <v>1026</v>
      </c>
      <c r="F128" s="189">
        <v>46098</v>
      </c>
    </row>
    <row r="129" spans="1:6">
      <c r="A129" s="4" t="s">
        <v>1032</v>
      </c>
      <c r="B129" s="201" t="s">
        <v>744</v>
      </c>
      <c r="C129" s="4" t="s">
        <v>560</v>
      </c>
      <c r="D129" s="168">
        <v>3108105</v>
      </c>
      <c r="E129" s="4" t="s">
        <v>1031</v>
      </c>
      <c r="F129" s="189">
        <v>46099</v>
      </c>
    </row>
    <row r="130" spans="1:6">
      <c r="A130" s="4" t="s">
        <v>1033</v>
      </c>
      <c r="B130" s="201" t="s">
        <v>819</v>
      </c>
      <c r="C130" s="4" t="s">
        <v>1046</v>
      </c>
      <c r="D130" s="168">
        <v>100000</v>
      </c>
      <c r="E130" s="4" t="s">
        <v>1048</v>
      </c>
      <c r="F130" s="189">
        <v>46100</v>
      </c>
    </row>
    <row r="131" spans="1:6">
      <c r="A131" s="4" t="s">
        <v>1055</v>
      </c>
      <c r="B131" s="201" t="s">
        <v>885</v>
      </c>
      <c r="C131" s="4" t="s">
        <v>881</v>
      </c>
      <c r="D131" s="168">
        <v>100</v>
      </c>
      <c r="E131" s="4" t="s">
        <v>1053</v>
      </c>
      <c r="F131" s="189">
        <v>46101</v>
      </c>
    </row>
    <row r="132" spans="1:6">
      <c r="A132" s="4" t="s">
        <v>1056</v>
      </c>
      <c r="B132" s="201" t="s">
        <v>885</v>
      </c>
      <c r="C132" s="4" t="s">
        <v>881</v>
      </c>
      <c r="D132" s="168">
        <v>912488</v>
      </c>
      <c r="E132" s="4" t="s">
        <v>1054</v>
      </c>
      <c r="F132" s="189">
        <v>46101</v>
      </c>
    </row>
    <row r="133" spans="1:6">
      <c r="A133" s="4" t="s">
        <v>1058</v>
      </c>
      <c r="B133" s="201" t="s">
        <v>413</v>
      </c>
      <c r="C133" s="4" t="s">
        <v>319</v>
      </c>
      <c r="D133" s="168">
        <v>63368</v>
      </c>
      <c r="E133" s="4" t="s">
        <v>1062</v>
      </c>
      <c r="F133" s="189">
        <v>46100</v>
      </c>
    </row>
    <row r="134" spans="1:6">
      <c r="A134" s="4" t="s">
        <v>1059</v>
      </c>
      <c r="B134" s="201" t="s">
        <v>359</v>
      </c>
      <c r="C134" s="4" t="s">
        <v>914</v>
      </c>
      <c r="D134" s="168">
        <v>3468465</v>
      </c>
      <c r="E134" s="4" t="s">
        <v>1061</v>
      </c>
      <c r="F134" s="189">
        <v>46101</v>
      </c>
    </row>
  </sheetData>
  <autoFilter ref="A1:G109" xr:uid="{5E3E1E61-6368-4399-96BA-6D1D2691CD04}"/>
  <phoneticPr fontId="3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0BAB5-44AF-4A8F-8B57-70BE16C33CAD}">
  <sheetPr codeName="Sheet25" filterMode="1"/>
  <dimension ref="A1:BD94"/>
  <sheetViews>
    <sheetView tabSelected="1" zoomScaleNormal="100" workbookViewId="0">
      <pane xSplit="2" ySplit="1" topLeftCell="V20" activePane="bottomRight" state="frozen"/>
      <selection pane="topRight" activeCell="C1" sqref="C1"/>
      <selection pane="bottomLeft" activeCell="A2" sqref="A2"/>
      <selection pane="bottomRight" activeCell="X66" sqref="X66"/>
    </sheetView>
  </sheetViews>
  <sheetFormatPr defaultColWidth="9.140625" defaultRowHeight="15.75"/>
  <cols>
    <col min="1" max="1" width="10.5703125" style="81" customWidth="1"/>
    <col min="2" max="2" width="22" style="81" customWidth="1"/>
    <col min="3" max="3" width="9.140625" style="81" customWidth="1"/>
    <col min="4" max="4" width="6.85546875" style="81" customWidth="1"/>
    <col min="5" max="5" width="12.140625" style="81" bestFit="1" customWidth="1"/>
    <col min="6" max="6" width="16.7109375" style="221" bestFit="1" customWidth="1"/>
    <col min="7" max="7" width="16.7109375" style="221" customWidth="1"/>
    <col min="8" max="8" width="15.42578125" style="221" bestFit="1" customWidth="1"/>
    <col min="9" max="9" width="16.7109375" style="221" bestFit="1" customWidth="1"/>
    <col min="10" max="10" width="16.7109375" style="235" customWidth="1"/>
    <col min="11" max="11" width="12.5703125" style="81" customWidth="1"/>
    <col min="12" max="12" width="9.42578125" style="221" customWidth="1"/>
    <col min="13" max="13" width="11.7109375" style="221" customWidth="1"/>
    <col min="14" max="15" width="16.7109375" style="81" customWidth="1"/>
    <col min="16" max="16" width="6.28515625" style="81" customWidth="1"/>
    <col min="17" max="17" width="9.140625" style="81" bestFit="1" customWidth="1"/>
    <col min="18" max="18" width="6.28515625" style="81" customWidth="1"/>
    <col min="19" max="20" width="16.7109375" style="221" bestFit="1" customWidth="1"/>
    <col min="21" max="21" width="14.42578125" style="81" bestFit="1" customWidth="1"/>
    <col min="22" max="22" width="13.140625" style="81" customWidth="1"/>
    <col min="23" max="23" width="13.85546875" style="81" bestFit="1" customWidth="1"/>
    <col min="24" max="27" width="9.140625" style="81" customWidth="1"/>
    <col min="28" max="28" width="5" style="81" customWidth="1"/>
    <col min="29" max="29" width="18" style="81" customWidth="1"/>
    <col min="30" max="31" width="9.140625" style="81"/>
    <col min="32" max="32" width="13.85546875" style="81" bestFit="1" customWidth="1"/>
    <col min="33" max="36" width="9.140625" style="81"/>
    <col min="37" max="37" width="5" style="81" bestFit="1" customWidth="1"/>
    <col min="38" max="38" width="12.42578125" style="81" bestFit="1" customWidth="1"/>
    <col min="39" max="40" width="9.140625" style="81"/>
    <col min="41" max="41" width="13.85546875" style="81" bestFit="1" customWidth="1"/>
    <col min="42" max="42" width="9.140625" style="81"/>
    <col min="43" max="43" width="13" style="81" bestFit="1" customWidth="1"/>
    <col min="44" max="44" width="9.140625" style="81"/>
    <col min="45" max="45" width="11.5703125" style="221" bestFit="1" customWidth="1"/>
    <col min="46" max="47" width="9.28515625" style="81" bestFit="1" customWidth="1"/>
    <col min="48" max="48" width="15" style="81" bestFit="1" customWidth="1"/>
    <col min="49" max="49" width="9.28515625" style="81" bestFit="1" customWidth="1"/>
    <col min="50" max="50" width="9.140625" style="81"/>
    <col min="51" max="51" width="16.140625" style="81" bestFit="1" customWidth="1"/>
    <col min="52" max="53" width="9.140625" style="81"/>
    <col min="54" max="54" width="13.28515625" style="81" bestFit="1" customWidth="1"/>
    <col min="55" max="55" width="10.5703125" style="81" customWidth="1"/>
    <col min="56" max="16384" width="9.140625" style="81"/>
  </cols>
  <sheetData>
    <row r="1" spans="1:56" ht="71.25">
      <c r="A1" s="2" t="s">
        <v>33</v>
      </c>
      <c r="B1" s="2" t="s">
        <v>55</v>
      </c>
      <c r="C1" s="2" t="s">
        <v>32</v>
      </c>
      <c r="D1" s="2" t="s">
        <v>34</v>
      </c>
      <c r="E1" s="134" t="s">
        <v>181</v>
      </c>
      <c r="F1" s="134" t="s">
        <v>96</v>
      </c>
      <c r="G1" s="134" t="s">
        <v>1006</v>
      </c>
      <c r="H1" s="134" t="s">
        <v>81</v>
      </c>
      <c r="I1" s="134" t="s">
        <v>97</v>
      </c>
      <c r="J1" s="3" t="s">
        <v>903</v>
      </c>
      <c r="K1" s="134" t="s">
        <v>98</v>
      </c>
      <c r="L1" s="134" t="s">
        <v>99</v>
      </c>
      <c r="M1" s="134" t="s">
        <v>100</v>
      </c>
      <c r="N1" s="5">
        <v>0.4</v>
      </c>
      <c r="O1" s="134" t="s">
        <v>101</v>
      </c>
      <c r="P1" s="133" t="s">
        <v>102</v>
      </c>
      <c r="Q1" s="231" t="s">
        <v>842</v>
      </c>
      <c r="R1" s="134" t="s">
        <v>121</v>
      </c>
      <c r="S1" s="171" t="s">
        <v>104</v>
      </c>
      <c r="T1" s="171" t="s">
        <v>103</v>
      </c>
      <c r="U1" s="132" t="s">
        <v>107</v>
      </c>
      <c r="V1" s="134" t="s">
        <v>108</v>
      </c>
      <c r="W1" s="134" t="s">
        <v>109</v>
      </c>
      <c r="X1" s="25" t="s">
        <v>111</v>
      </c>
      <c r="Y1" s="26" t="s">
        <v>112</v>
      </c>
      <c r="Z1" s="27" t="s">
        <v>113</v>
      </c>
      <c r="AA1" s="27" t="s">
        <v>114</v>
      </c>
      <c r="AB1" s="26" t="s">
        <v>115</v>
      </c>
      <c r="AC1" s="26" t="s">
        <v>116</v>
      </c>
      <c r="AD1" s="26" t="s">
        <v>117</v>
      </c>
      <c r="AE1" s="27" t="s">
        <v>118</v>
      </c>
      <c r="AF1" s="27" t="s">
        <v>119</v>
      </c>
      <c r="AG1" s="28" t="s">
        <v>120</v>
      </c>
      <c r="AH1" s="29" t="s">
        <v>112</v>
      </c>
      <c r="AI1" s="30" t="s">
        <v>113</v>
      </c>
      <c r="AJ1" s="30" t="s">
        <v>114</v>
      </c>
      <c r="AK1" s="29" t="s">
        <v>115</v>
      </c>
      <c r="AL1" s="29" t="s">
        <v>116</v>
      </c>
      <c r="AM1" s="29" t="s">
        <v>117</v>
      </c>
      <c r="AN1" s="30" t="s">
        <v>118</v>
      </c>
      <c r="AO1" s="30" t="s">
        <v>119</v>
      </c>
      <c r="AP1" s="31" t="s">
        <v>122</v>
      </c>
      <c r="AQ1" s="31" t="s">
        <v>123</v>
      </c>
      <c r="AR1" s="31" t="s">
        <v>124</v>
      </c>
      <c r="AS1" s="31" t="s">
        <v>125</v>
      </c>
      <c r="AT1" s="3" t="s">
        <v>0</v>
      </c>
      <c r="AU1" s="3" t="s">
        <v>179</v>
      </c>
      <c r="AV1" s="2" t="s">
        <v>35</v>
      </c>
      <c r="AW1" s="3" t="s">
        <v>180</v>
      </c>
      <c r="AX1" s="3" t="s">
        <v>53</v>
      </c>
      <c r="AY1" s="3" t="s">
        <v>126</v>
      </c>
      <c r="AZ1" s="32" t="s">
        <v>127</v>
      </c>
      <c r="BA1" s="32" t="s">
        <v>128</v>
      </c>
      <c r="BB1" s="3" t="s">
        <v>129</v>
      </c>
      <c r="BC1" s="3" t="s">
        <v>121</v>
      </c>
      <c r="BD1" s="4"/>
    </row>
    <row r="2" spans="1:56">
      <c r="A2" s="215" t="s">
        <v>2</v>
      </c>
      <c r="B2" s="1" t="s">
        <v>171</v>
      </c>
      <c r="C2" s="1" t="s">
        <v>1</v>
      </c>
      <c r="D2" s="155" t="s">
        <v>177</v>
      </c>
      <c r="E2" s="217">
        <v>1265</v>
      </c>
      <c r="F2" s="218">
        <f t="shared" ref="F2:F53" si="0">(((E2*K2)+G2)+((E2*K2)+G2)*5/100)+J2</f>
        <v>11954250</v>
      </c>
      <c r="G2" s="218"/>
      <c r="H2" s="218">
        <f>'0201'!$E$19</f>
        <v>100000</v>
      </c>
      <c r="I2" s="218">
        <f t="shared" ref="I2:I33" si="1">F2-H2</f>
        <v>11854250</v>
      </c>
      <c r="J2" s="232"/>
      <c r="K2" s="159">
        <v>9000</v>
      </c>
      <c r="L2" s="218">
        <f t="shared" ref="L2:L33" si="2">(H2/F2)*100</f>
        <v>0.83652257565301047</v>
      </c>
      <c r="M2" s="218">
        <f>100-L2</f>
        <v>99.163477424346993</v>
      </c>
      <c r="N2" s="218">
        <f t="shared" ref="N2:N33" si="3">F2*$N$1</f>
        <v>4781700</v>
      </c>
      <c r="O2" s="218">
        <f>IF((N2-H2)&lt;0,0,(N2-H2))</f>
        <v>4681700</v>
      </c>
      <c r="P2" s="33"/>
      <c r="Q2" s="1"/>
      <c r="R2" s="1" t="s">
        <v>484</v>
      </c>
      <c r="S2" s="169">
        <f>'0201'!G4</f>
        <v>11854250</v>
      </c>
      <c r="T2" s="169">
        <f>'0201'!H4</f>
        <v>0</v>
      </c>
      <c r="U2" s="160">
        <v>45974</v>
      </c>
      <c r="V2" s="1" t="s">
        <v>110</v>
      </c>
      <c r="W2" s="1" t="str">
        <f>IF(V2="","","Agre not Done")</f>
        <v>Agre not Done</v>
      </c>
      <c r="X2" s="161" t="s">
        <v>171</v>
      </c>
      <c r="Y2" s="161" t="s">
        <v>173</v>
      </c>
      <c r="Z2" s="161" t="s">
        <v>174</v>
      </c>
      <c r="AA2" s="161" t="s">
        <v>172</v>
      </c>
      <c r="AB2" s="161">
        <v>52</v>
      </c>
      <c r="AC2" s="161" t="s">
        <v>175</v>
      </c>
      <c r="AD2" s="161" t="s">
        <v>172</v>
      </c>
      <c r="AE2" s="161" t="s">
        <v>172</v>
      </c>
      <c r="AF2" s="161" t="s">
        <v>176</v>
      </c>
      <c r="AG2" s="162" t="s">
        <v>182</v>
      </c>
      <c r="AH2" s="162" t="str">
        <f>IF(AG2="Nil","Nil","")</f>
        <v>Nil</v>
      </c>
      <c r="AI2" s="162" t="str">
        <f>IF(AG2="Nil","Nil","")</f>
        <v>Nil</v>
      </c>
      <c r="AJ2" s="162" t="str">
        <f>IF(AG2="Nil","Nil","")</f>
        <v>Nil</v>
      </c>
      <c r="AK2" s="162" t="str">
        <f>IF(AG2="Nil","Nil","")</f>
        <v>Nil</v>
      </c>
      <c r="AL2" s="162" t="str">
        <f>IF(AG2="Nil","Nil","")</f>
        <v>Nil</v>
      </c>
      <c r="AM2" s="162" t="str">
        <f>IF(AG2="Nil","Nil","")</f>
        <v>Nil</v>
      </c>
      <c r="AN2" s="162" t="str">
        <f>IF(AG2="Nil","Nil","")</f>
        <v>Nil</v>
      </c>
      <c r="AO2" s="162" t="str">
        <f>IF(AG2="Nil","Nil","")</f>
        <v>Nil</v>
      </c>
      <c r="AP2" s="163" t="s">
        <v>188</v>
      </c>
      <c r="AQ2" s="178">
        <v>45974</v>
      </c>
      <c r="AR2" s="163" t="s">
        <v>189</v>
      </c>
      <c r="AS2" s="170">
        <v>100000</v>
      </c>
      <c r="AT2" s="158">
        <f t="shared" ref="AT2:AT33" si="4">E2*0.495046</f>
        <v>626.23319000000004</v>
      </c>
      <c r="AU2" s="156">
        <v>770</v>
      </c>
      <c r="AV2" s="1" t="s">
        <v>36</v>
      </c>
      <c r="AW2" s="158">
        <f t="shared" ref="AW2:AW33" si="5">E2/10.7639104</f>
        <v>117.5223457824398</v>
      </c>
      <c r="AX2" s="1" t="s">
        <v>54</v>
      </c>
      <c r="AY2" s="1" t="str">
        <f>IF(W2="Agre not done","","Agreement Done")</f>
        <v/>
      </c>
      <c r="AZ2" s="179"/>
      <c r="BA2" s="179"/>
      <c r="BB2" s="222" t="str">
        <f>HYPERLINK("https://web.whatsapp.com/send?phone="&amp;AC2&amp;"Hi, This is from RRL Builders","SendMessage")</f>
        <v>SendMessage</v>
      </c>
      <c r="BC2" s="1"/>
      <c r="BD2" s="4"/>
    </row>
    <row r="3" spans="1:56" s="4" customFormat="1" ht="15" hidden="1">
      <c r="A3" s="215" t="s">
        <v>3</v>
      </c>
      <c r="B3" s="1"/>
      <c r="C3" s="1" t="s">
        <v>1</v>
      </c>
      <c r="D3" s="155" t="s">
        <v>178</v>
      </c>
      <c r="E3" s="156">
        <v>1495</v>
      </c>
      <c r="F3" s="218">
        <f t="shared" si="0"/>
        <v>0</v>
      </c>
      <c r="G3" s="218"/>
      <c r="H3" s="167">
        <f>'0202'!E19</f>
        <v>0</v>
      </c>
      <c r="I3" s="167">
        <f t="shared" si="1"/>
        <v>0</v>
      </c>
      <c r="J3" s="233"/>
      <c r="K3" s="159"/>
      <c r="L3" s="167" t="e">
        <f t="shared" si="2"/>
        <v>#DIV/0!</v>
      </c>
      <c r="M3" s="167" t="e">
        <f t="shared" ref="M3:M66" si="6">100-L3</f>
        <v>#DIV/0!</v>
      </c>
      <c r="N3" s="167">
        <f t="shared" si="3"/>
        <v>0</v>
      </c>
      <c r="O3" s="167">
        <f t="shared" ref="O3:O66" si="7">IF((N3-H3)&lt;0,0,(N3-H3))</f>
        <v>0</v>
      </c>
      <c r="P3" s="33"/>
      <c r="Q3" s="1"/>
      <c r="R3" s="1"/>
      <c r="S3" s="169">
        <f>'0202'!G4</f>
        <v>0</v>
      </c>
      <c r="T3" s="169">
        <f>'0202'!H4</f>
        <v>0</v>
      </c>
      <c r="U3" s="160"/>
      <c r="V3" s="1"/>
      <c r="W3" s="1" t="str">
        <f t="shared" ref="W3:W62" si="8">IF(V3="","","Agre not Done")</f>
        <v/>
      </c>
      <c r="X3" s="161" t="s">
        <v>182</v>
      </c>
      <c r="Y3" s="161" t="str">
        <f>IF(X3="Nil","Nil","")</f>
        <v>Nil</v>
      </c>
      <c r="Z3" s="161" t="str">
        <f>IF(X3="Nil","Nil","")</f>
        <v>Nil</v>
      </c>
      <c r="AA3" s="161" t="str">
        <f>IF(X3="Nil","Nil","")</f>
        <v>Nil</v>
      </c>
      <c r="AB3" s="161" t="str">
        <f>IF(X3="Nil","Nil","")</f>
        <v>Nil</v>
      </c>
      <c r="AC3" s="161" t="str">
        <f>IF(X3="Nil","Nil","")</f>
        <v>Nil</v>
      </c>
      <c r="AD3" s="161" t="str">
        <f>IF(X3="Nil","Nil","")</f>
        <v>Nil</v>
      </c>
      <c r="AE3" s="161" t="str">
        <f>IF(X3="Nil","Nil","")</f>
        <v>Nil</v>
      </c>
      <c r="AF3" s="161" t="str">
        <f>IF(X3="Nil","Nil","")</f>
        <v>Nil</v>
      </c>
      <c r="AG3" s="162" t="s">
        <v>182</v>
      </c>
      <c r="AH3" s="162" t="str">
        <f t="shared" ref="AH3:AH65" si="9">IF(AG3="Nil","Nil","")</f>
        <v>Nil</v>
      </c>
      <c r="AI3" s="162" t="str">
        <f>IF(AG3="Nil","Nil","")</f>
        <v>Nil</v>
      </c>
      <c r="AJ3" s="162" t="str">
        <f>IF(AG3="Nil","Nil","")</f>
        <v>Nil</v>
      </c>
      <c r="AK3" s="162" t="str">
        <f>IF(AG3="Nil","Nil","")</f>
        <v>Nil</v>
      </c>
      <c r="AL3" s="162" t="str">
        <f>IF(AG3="Nil","Nil","")</f>
        <v>Nil</v>
      </c>
      <c r="AM3" s="162" t="str">
        <f>IF(AG3="Nil","Nil","")</f>
        <v>Nil</v>
      </c>
      <c r="AN3" s="162" t="str">
        <f>IF(AG3="Nil","Nil","")</f>
        <v>Nil</v>
      </c>
      <c r="AO3" s="162" t="str">
        <f>IF(AG3="Nil","Nil","")</f>
        <v>Nil</v>
      </c>
      <c r="AP3" s="163"/>
      <c r="AQ3" s="178"/>
      <c r="AR3" s="163"/>
      <c r="AS3" s="170"/>
      <c r="AT3" s="158">
        <f t="shared" si="4"/>
        <v>740.09376999999995</v>
      </c>
      <c r="AU3" s="156">
        <v>967</v>
      </c>
      <c r="AV3" s="1" t="s">
        <v>36</v>
      </c>
      <c r="AW3" s="158">
        <f t="shared" si="5"/>
        <v>138.89004501561067</v>
      </c>
      <c r="AX3" s="1" t="s">
        <v>54</v>
      </c>
      <c r="AY3" s="1" t="str">
        <f t="shared" ref="AY3:AY66" si="10">IF(W3="Agre not done","","Agreement Done")</f>
        <v>Agreement Done</v>
      </c>
      <c r="AZ3" s="179"/>
      <c r="BA3" s="179"/>
      <c r="BB3" s="222" t="str">
        <f t="shared" ref="BB3:BB66" si="11">HYPERLINK("https://web.whatsapp.com/send?phone="&amp;AC3&amp;"Hi, This is from RRL Builders","SendMessage")</f>
        <v>SendMessage</v>
      </c>
      <c r="BC3" s="1"/>
    </row>
    <row r="4" spans="1:56" s="4" customFormat="1" ht="15" hidden="1">
      <c r="A4" s="215" t="s">
        <v>4</v>
      </c>
      <c r="B4" s="1"/>
      <c r="C4" s="1" t="s">
        <v>1</v>
      </c>
      <c r="D4" s="155" t="s">
        <v>178</v>
      </c>
      <c r="E4" s="156">
        <v>1630</v>
      </c>
      <c r="F4" s="218">
        <f t="shared" si="0"/>
        <v>0</v>
      </c>
      <c r="G4" s="218"/>
      <c r="H4" s="167">
        <f>'0203'!E19</f>
        <v>0</v>
      </c>
      <c r="I4" s="167">
        <f t="shared" si="1"/>
        <v>0</v>
      </c>
      <c r="J4" s="233"/>
      <c r="K4" s="159"/>
      <c r="L4" s="167" t="e">
        <f t="shared" si="2"/>
        <v>#DIV/0!</v>
      </c>
      <c r="M4" s="167" t="e">
        <f t="shared" si="6"/>
        <v>#DIV/0!</v>
      </c>
      <c r="N4" s="167">
        <f t="shared" si="3"/>
        <v>0</v>
      </c>
      <c r="O4" s="167">
        <f t="shared" si="7"/>
        <v>0</v>
      </c>
      <c r="P4" s="33"/>
      <c r="Q4" s="1"/>
      <c r="R4" s="1"/>
      <c r="S4" s="169">
        <f>'0203'!G4</f>
        <v>0</v>
      </c>
      <c r="T4" s="169">
        <f>'0203'!H4</f>
        <v>0</v>
      </c>
      <c r="U4" s="160"/>
      <c r="V4" s="1"/>
      <c r="W4" s="1" t="str">
        <f t="shared" si="8"/>
        <v/>
      </c>
      <c r="X4" s="161" t="s">
        <v>182</v>
      </c>
      <c r="Y4" s="161" t="str">
        <f>IF(X4="Nil","Nil","")</f>
        <v>Nil</v>
      </c>
      <c r="Z4" s="161" t="str">
        <f>IF(X4="Nil","Nil","")</f>
        <v>Nil</v>
      </c>
      <c r="AA4" s="161" t="str">
        <f>IF(X4="Nil","Nil","")</f>
        <v>Nil</v>
      </c>
      <c r="AB4" s="161" t="str">
        <f>IF(X4="Nil","Nil","")</f>
        <v>Nil</v>
      </c>
      <c r="AC4" s="161" t="str">
        <f>IF(X4="Nil","Nil","")</f>
        <v>Nil</v>
      </c>
      <c r="AD4" s="161" t="str">
        <f>IF(X4="Nil","Nil","")</f>
        <v>Nil</v>
      </c>
      <c r="AE4" s="161" t="str">
        <f>IF(X4="Nil","Nil","")</f>
        <v>Nil</v>
      </c>
      <c r="AF4" s="161" t="str">
        <f>IF(X4="Nil","Nil","")</f>
        <v>Nil</v>
      </c>
      <c r="AG4" s="162" t="s">
        <v>182</v>
      </c>
      <c r="AH4" s="162" t="str">
        <f t="shared" si="9"/>
        <v>Nil</v>
      </c>
      <c r="AI4" s="162" t="str">
        <f>IF(AG4="Nil","Nil","")</f>
        <v>Nil</v>
      </c>
      <c r="AJ4" s="162" t="str">
        <f>IF(AG4="Nil","Nil","")</f>
        <v>Nil</v>
      </c>
      <c r="AK4" s="162" t="str">
        <f>IF(AG4="Nil","Nil","")</f>
        <v>Nil</v>
      </c>
      <c r="AL4" s="162" t="str">
        <f>IF(AG4="Nil","Nil","")</f>
        <v>Nil</v>
      </c>
      <c r="AM4" s="162" t="str">
        <f>IF(AG4="Nil","Nil","")</f>
        <v>Nil</v>
      </c>
      <c r="AN4" s="162" t="str">
        <f>IF(AG4="Nil","Nil","")</f>
        <v>Nil</v>
      </c>
      <c r="AO4" s="162" t="str">
        <f>IF(AG4="Nil","Nil","")</f>
        <v>Nil</v>
      </c>
      <c r="AP4" s="163"/>
      <c r="AQ4" s="178"/>
      <c r="AR4" s="163"/>
      <c r="AS4" s="170"/>
      <c r="AT4" s="158">
        <f t="shared" si="4"/>
        <v>806.92498000000001</v>
      </c>
      <c r="AU4" s="156">
        <v>1074</v>
      </c>
      <c r="AV4" s="1" t="s">
        <v>36</v>
      </c>
      <c r="AW4" s="158">
        <f t="shared" si="5"/>
        <v>151.43195543508054</v>
      </c>
      <c r="AX4" s="1" t="s">
        <v>54</v>
      </c>
      <c r="AY4" s="1" t="str">
        <f t="shared" si="10"/>
        <v>Agreement Done</v>
      </c>
      <c r="AZ4" s="179"/>
      <c r="BA4" s="179"/>
      <c r="BB4" s="222" t="str">
        <f t="shared" si="11"/>
        <v>SendMessage</v>
      </c>
      <c r="BC4" s="1"/>
    </row>
    <row r="5" spans="1:56" s="4" customFormat="1" ht="15" hidden="1">
      <c r="A5" s="215" t="s">
        <v>5</v>
      </c>
      <c r="B5" s="1"/>
      <c r="C5" s="1" t="s">
        <v>1</v>
      </c>
      <c r="D5" s="155" t="s">
        <v>178</v>
      </c>
      <c r="E5" s="156">
        <v>1560</v>
      </c>
      <c r="F5" s="218">
        <f t="shared" si="0"/>
        <v>0</v>
      </c>
      <c r="G5" s="218"/>
      <c r="H5" s="167">
        <f>'0204'!E19</f>
        <v>0</v>
      </c>
      <c r="I5" s="167">
        <f t="shared" si="1"/>
        <v>0</v>
      </c>
      <c r="J5" s="233"/>
      <c r="K5" s="159"/>
      <c r="L5" s="167" t="e">
        <f t="shared" si="2"/>
        <v>#DIV/0!</v>
      </c>
      <c r="M5" s="167" t="e">
        <f t="shared" si="6"/>
        <v>#DIV/0!</v>
      </c>
      <c r="N5" s="167">
        <f t="shared" si="3"/>
        <v>0</v>
      </c>
      <c r="O5" s="167">
        <f t="shared" si="7"/>
        <v>0</v>
      </c>
      <c r="P5" s="33"/>
      <c r="Q5" s="1"/>
      <c r="R5" s="1"/>
      <c r="S5" s="169">
        <f>'0204'!G4</f>
        <v>0</v>
      </c>
      <c r="T5" s="169">
        <f>'0204'!H4</f>
        <v>0</v>
      </c>
      <c r="U5" s="160"/>
      <c r="V5" s="1"/>
      <c r="W5" s="1" t="str">
        <f t="shared" si="8"/>
        <v/>
      </c>
      <c r="X5" s="161" t="s">
        <v>182</v>
      </c>
      <c r="Y5" s="161" t="str">
        <f t="shared" ref="Y5:Y67" si="12">IF(X5="Nil","Nil","")</f>
        <v>Nil</v>
      </c>
      <c r="Z5" s="161" t="str">
        <f t="shared" ref="Z5:Z67" si="13">IF(X5="Nil","Nil","")</f>
        <v>Nil</v>
      </c>
      <c r="AA5" s="161" t="str">
        <f t="shared" ref="AA5:AA67" si="14">IF(X5="Nil","Nil","")</f>
        <v>Nil</v>
      </c>
      <c r="AB5" s="161" t="str">
        <f t="shared" ref="AB5:AB67" si="15">IF(X5="Nil","Nil","")</f>
        <v>Nil</v>
      </c>
      <c r="AC5" s="161" t="str">
        <f t="shared" ref="AC5:AC67" si="16">IF(X5="Nil","Nil","")</f>
        <v>Nil</v>
      </c>
      <c r="AD5" s="161" t="str">
        <f t="shared" ref="AD5:AD67" si="17">IF(X5="Nil","Nil","")</f>
        <v>Nil</v>
      </c>
      <c r="AE5" s="161" t="str">
        <f t="shared" ref="AE5:AE67" si="18">IF(X5="Nil","Nil","")</f>
        <v>Nil</v>
      </c>
      <c r="AF5" s="161" t="str">
        <f t="shared" ref="AF5:AF67" si="19">IF(X5="Nil","Nil","")</f>
        <v>Nil</v>
      </c>
      <c r="AG5" s="162" t="s">
        <v>182</v>
      </c>
      <c r="AH5" s="162" t="str">
        <f t="shared" si="9"/>
        <v>Nil</v>
      </c>
      <c r="AI5" s="162" t="str">
        <f t="shared" ref="AI5:AI67" si="20">IF(AG5="Nil","Nil","")</f>
        <v>Nil</v>
      </c>
      <c r="AJ5" s="162" t="str">
        <f t="shared" ref="AJ5:AJ67" si="21">IF(AG5="Nil","Nil","")</f>
        <v>Nil</v>
      </c>
      <c r="AK5" s="162" t="str">
        <f t="shared" ref="AK5:AK67" si="22">IF(AG5="Nil","Nil","")</f>
        <v>Nil</v>
      </c>
      <c r="AL5" s="162" t="str">
        <f t="shared" ref="AL5:AL67" si="23">IF(AG5="Nil","Nil","")</f>
        <v>Nil</v>
      </c>
      <c r="AM5" s="162" t="str">
        <f t="shared" ref="AM5:AM67" si="24">IF(AG5="Nil","Nil","")</f>
        <v>Nil</v>
      </c>
      <c r="AN5" s="162" t="str">
        <f t="shared" ref="AN5:AN67" si="25">IF(AG5="Nil","Nil","")</f>
        <v>Nil</v>
      </c>
      <c r="AO5" s="162" t="str">
        <f t="shared" ref="AO5:AO67" si="26">IF(AG5="Nil","Nil","")</f>
        <v>Nil</v>
      </c>
      <c r="AP5" s="163"/>
      <c r="AQ5" s="178"/>
      <c r="AR5" s="163"/>
      <c r="AS5" s="170"/>
      <c r="AT5" s="158">
        <f t="shared" si="4"/>
        <v>772.27175999999997</v>
      </c>
      <c r="AU5" s="156">
        <v>984</v>
      </c>
      <c r="AV5" s="1" t="s">
        <v>36</v>
      </c>
      <c r="AW5" s="158">
        <f t="shared" si="5"/>
        <v>144.92874262498506</v>
      </c>
      <c r="AX5" s="1" t="s">
        <v>54</v>
      </c>
      <c r="AY5" s="1" t="str">
        <f t="shared" si="10"/>
        <v>Agreement Done</v>
      </c>
      <c r="AZ5" s="179"/>
      <c r="BA5" s="179"/>
      <c r="BB5" s="222" t="str">
        <f t="shared" si="11"/>
        <v>SendMessage</v>
      </c>
      <c r="BC5" s="1"/>
    </row>
    <row r="6" spans="1:56" s="4" customFormat="1" ht="15" hidden="1">
      <c r="A6" s="215" t="s">
        <v>6</v>
      </c>
      <c r="B6" s="1"/>
      <c r="C6" s="1" t="s">
        <v>1</v>
      </c>
      <c r="D6" s="155" t="s">
        <v>178</v>
      </c>
      <c r="E6" s="156">
        <v>1510</v>
      </c>
      <c r="F6" s="218">
        <f t="shared" si="0"/>
        <v>0</v>
      </c>
      <c r="G6" s="218"/>
      <c r="H6" s="167"/>
      <c r="I6" s="167">
        <f t="shared" si="1"/>
        <v>0</v>
      </c>
      <c r="J6" s="233"/>
      <c r="K6" s="159"/>
      <c r="L6" s="167" t="e">
        <f t="shared" si="2"/>
        <v>#DIV/0!</v>
      </c>
      <c r="M6" s="167" t="e">
        <f t="shared" si="6"/>
        <v>#DIV/0!</v>
      </c>
      <c r="N6" s="167">
        <f t="shared" si="3"/>
        <v>0</v>
      </c>
      <c r="O6" s="167">
        <f t="shared" si="7"/>
        <v>0</v>
      </c>
      <c r="P6" s="33"/>
      <c r="Q6" s="1"/>
      <c r="R6" s="1"/>
      <c r="S6" s="169"/>
      <c r="T6" s="169"/>
      <c r="U6" s="160"/>
      <c r="V6" s="1"/>
      <c r="W6" s="1" t="str">
        <f t="shared" si="8"/>
        <v/>
      </c>
      <c r="X6" s="161" t="s">
        <v>182</v>
      </c>
      <c r="Y6" s="161" t="str">
        <f t="shared" si="12"/>
        <v>Nil</v>
      </c>
      <c r="Z6" s="161" t="str">
        <f t="shared" si="13"/>
        <v>Nil</v>
      </c>
      <c r="AA6" s="161" t="str">
        <f t="shared" si="14"/>
        <v>Nil</v>
      </c>
      <c r="AB6" s="161" t="str">
        <f t="shared" si="15"/>
        <v>Nil</v>
      </c>
      <c r="AC6" s="161" t="str">
        <f t="shared" si="16"/>
        <v>Nil</v>
      </c>
      <c r="AD6" s="161" t="str">
        <f t="shared" si="17"/>
        <v>Nil</v>
      </c>
      <c r="AE6" s="161" t="str">
        <f t="shared" si="18"/>
        <v>Nil</v>
      </c>
      <c r="AF6" s="161" t="str">
        <f t="shared" si="19"/>
        <v>Nil</v>
      </c>
      <c r="AG6" s="162" t="s">
        <v>182</v>
      </c>
      <c r="AH6" s="162" t="str">
        <f t="shared" si="9"/>
        <v>Nil</v>
      </c>
      <c r="AI6" s="162" t="str">
        <f t="shared" si="20"/>
        <v>Nil</v>
      </c>
      <c r="AJ6" s="162" t="str">
        <f t="shared" si="21"/>
        <v>Nil</v>
      </c>
      <c r="AK6" s="162" t="str">
        <f t="shared" si="22"/>
        <v>Nil</v>
      </c>
      <c r="AL6" s="162" t="str">
        <f t="shared" si="23"/>
        <v>Nil</v>
      </c>
      <c r="AM6" s="162" t="str">
        <f t="shared" si="24"/>
        <v>Nil</v>
      </c>
      <c r="AN6" s="162" t="str">
        <f t="shared" si="25"/>
        <v>Nil</v>
      </c>
      <c r="AO6" s="162" t="str">
        <f t="shared" si="26"/>
        <v>Nil</v>
      </c>
      <c r="AP6" s="163"/>
      <c r="AQ6" s="178"/>
      <c r="AR6" s="163"/>
      <c r="AS6" s="170"/>
      <c r="AT6" s="158">
        <f t="shared" si="4"/>
        <v>747.51945999999998</v>
      </c>
      <c r="AU6" s="156">
        <v>945</v>
      </c>
      <c r="AV6" s="1" t="s">
        <v>36</v>
      </c>
      <c r="AW6" s="158">
        <f t="shared" si="5"/>
        <v>140.283590617774</v>
      </c>
      <c r="AX6" s="1" t="s">
        <v>54</v>
      </c>
      <c r="AY6" s="1" t="str">
        <f t="shared" si="10"/>
        <v>Agreement Done</v>
      </c>
      <c r="AZ6" s="179"/>
      <c r="BA6" s="179"/>
      <c r="BB6" s="222" t="str">
        <f t="shared" si="11"/>
        <v>SendMessage</v>
      </c>
      <c r="BC6" s="1"/>
    </row>
    <row r="7" spans="1:56" s="4" customFormat="1" ht="15">
      <c r="A7" s="215" t="s">
        <v>7</v>
      </c>
      <c r="B7" s="1" t="s">
        <v>787</v>
      </c>
      <c r="C7" s="1" t="s">
        <v>1</v>
      </c>
      <c r="D7" s="155" t="s">
        <v>177</v>
      </c>
      <c r="E7" s="217">
        <v>1265</v>
      </c>
      <c r="F7" s="218">
        <f t="shared" si="0"/>
        <v>8633625</v>
      </c>
      <c r="G7" s="218">
        <v>0</v>
      </c>
      <c r="H7" s="218">
        <f>'0301'!$E$20</f>
        <v>1726725</v>
      </c>
      <c r="I7" s="218">
        <f t="shared" si="1"/>
        <v>6906900</v>
      </c>
      <c r="J7" s="232">
        <v>0</v>
      </c>
      <c r="K7" s="159">
        <v>6500</v>
      </c>
      <c r="L7" s="218">
        <f t="shared" si="2"/>
        <v>20</v>
      </c>
      <c r="M7" s="218">
        <f t="shared" si="6"/>
        <v>80</v>
      </c>
      <c r="N7" s="218">
        <f t="shared" si="3"/>
        <v>3453450</v>
      </c>
      <c r="O7" s="218">
        <f t="shared" si="7"/>
        <v>1726725</v>
      </c>
      <c r="P7" s="33" t="s">
        <v>846</v>
      </c>
      <c r="Q7" s="1" t="s">
        <v>841</v>
      </c>
      <c r="R7" s="1" t="s">
        <v>783</v>
      </c>
      <c r="S7" s="169">
        <f>'0301'!G4</f>
        <v>6906900</v>
      </c>
      <c r="T7" s="169">
        <f>'0301'!H4</f>
        <v>0</v>
      </c>
      <c r="U7" s="160">
        <v>46075</v>
      </c>
      <c r="V7" s="1" t="s">
        <v>822</v>
      </c>
      <c r="W7" s="160">
        <v>46077</v>
      </c>
      <c r="X7" s="161" t="s">
        <v>776</v>
      </c>
      <c r="Y7" s="161" t="s">
        <v>780</v>
      </c>
      <c r="Z7" s="161" t="s">
        <v>778</v>
      </c>
      <c r="AA7" s="161" t="s">
        <v>172</v>
      </c>
      <c r="AB7" s="161">
        <v>43</v>
      </c>
      <c r="AC7" s="161" t="s">
        <v>781</v>
      </c>
      <c r="AD7" s="223" t="s">
        <v>782</v>
      </c>
      <c r="AE7" s="161" t="s">
        <v>779</v>
      </c>
      <c r="AF7" s="161" t="s">
        <v>777</v>
      </c>
      <c r="AG7" s="162" t="s">
        <v>785</v>
      </c>
      <c r="AH7" s="162" t="s">
        <v>786</v>
      </c>
      <c r="AI7" s="162" t="s">
        <v>778</v>
      </c>
      <c r="AJ7" s="162" t="s">
        <v>172</v>
      </c>
      <c r="AK7" s="162">
        <v>40</v>
      </c>
      <c r="AL7" s="162" t="s">
        <v>789</v>
      </c>
      <c r="AM7" s="224" t="s">
        <v>790</v>
      </c>
      <c r="AN7" s="162" t="s">
        <v>784</v>
      </c>
      <c r="AO7" s="162" t="s">
        <v>788</v>
      </c>
      <c r="AP7" s="163"/>
      <c r="AQ7" s="178"/>
      <c r="AR7" s="163"/>
      <c r="AS7" s="170"/>
      <c r="AT7" s="158">
        <f t="shared" si="4"/>
        <v>626.23319000000004</v>
      </c>
      <c r="AU7" s="156">
        <v>770</v>
      </c>
      <c r="AV7" s="1" t="s">
        <v>37</v>
      </c>
      <c r="AW7" s="158">
        <f t="shared" si="5"/>
        <v>117.5223457824398</v>
      </c>
      <c r="AX7" s="1" t="s">
        <v>54</v>
      </c>
      <c r="AY7" s="1" t="str">
        <f t="shared" si="10"/>
        <v>Agreement Done</v>
      </c>
      <c r="AZ7" s="179"/>
      <c r="BA7" s="179"/>
      <c r="BB7" s="222" t="str">
        <f t="shared" si="11"/>
        <v>SendMessage</v>
      </c>
      <c r="BC7" s="1"/>
    </row>
    <row r="8" spans="1:56" s="4" customFormat="1" ht="15" hidden="1">
      <c r="A8" s="215" t="s">
        <v>8</v>
      </c>
      <c r="B8" s="1"/>
      <c r="C8" s="1" t="s">
        <v>1</v>
      </c>
      <c r="D8" s="155" t="s">
        <v>178</v>
      </c>
      <c r="E8" s="156">
        <v>1495</v>
      </c>
      <c r="F8" s="218">
        <f t="shared" si="0"/>
        <v>0</v>
      </c>
      <c r="G8" s="218"/>
      <c r="H8" s="167"/>
      <c r="I8" s="167">
        <f t="shared" si="1"/>
        <v>0</v>
      </c>
      <c r="J8" s="233"/>
      <c r="K8" s="159"/>
      <c r="L8" s="167" t="e">
        <f t="shared" si="2"/>
        <v>#DIV/0!</v>
      </c>
      <c r="M8" s="167" t="e">
        <f t="shared" si="6"/>
        <v>#DIV/0!</v>
      </c>
      <c r="N8" s="167">
        <f t="shared" si="3"/>
        <v>0</v>
      </c>
      <c r="O8" s="167">
        <f t="shared" si="7"/>
        <v>0</v>
      </c>
      <c r="P8" s="33"/>
      <c r="Q8" s="1"/>
      <c r="R8" s="1"/>
      <c r="S8" s="169"/>
      <c r="T8" s="169"/>
      <c r="U8" s="160"/>
      <c r="V8" s="1"/>
      <c r="W8" s="1" t="str">
        <f t="shared" si="8"/>
        <v/>
      </c>
      <c r="X8" s="161" t="s">
        <v>182</v>
      </c>
      <c r="Y8" s="161" t="str">
        <f t="shared" si="12"/>
        <v>Nil</v>
      </c>
      <c r="Z8" s="161" t="str">
        <f t="shared" si="13"/>
        <v>Nil</v>
      </c>
      <c r="AA8" s="161" t="str">
        <f t="shared" si="14"/>
        <v>Nil</v>
      </c>
      <c r="AB8" s="161" t="str">
        <f t="shared" si="15"/>
        <v>Nil</v>
      </c>
      <c r="AC8" s="161" t="str">
        <f t="shared" si="16"/>
        <v>Nil</v>
      </c>
      <c r="AD8" s="161" t="str">
        <f t="shared" si="17"/>
        <v>Nil</v>
      </c>
      <c r="AE8" s="161" t="str">
        <f t="shared" si="18"/>
        <v>Nil</v>
      </c>
      <c r="AF8" s="161" t="str">
        <f t="shared" si="19"/>
        <v>Nil</v>
      </c>
      <c r="AG8" s="162" t="s">
        <v>182</v>
      </c>
      <c r="AH8" s="162" t="str">
        <f t="shared" si="9"/>
        <v>Nil</v>
      </c>
      <c r="AI8" s="162" t="str">
        <f t="shared" si="20"/>
        <v>Nil</v>
      </c>
      <c r="AJ8" s="162" t="str">
        <f t="shared" si="21"/>
        <v>Nil</v>
      </c>
      <c r="AK8" s="162" t="str">
        <f t="shared" si="22"/>
        <v>Nil</v>
      </c>
      <c r="AL8" s="162" t="str">
        <f t="shared" si="23"/>
        <v>Nil</v>
      </c>
      <c r="AM8" s="162" t="str">
        <f t="shared" si="24"/>
        <v>Nil</v>
      </c>
      <c r="AN8" s="162" t="str">
        <f t="shared" si="25"/>
        <v>Nil</v>
      </c>
      <c r="AO8" s="162" t="str">
        <f t="shared" si="26"/>
        <v>Nil</v>
      </c>
      <c r="AP8" s="163"/>
      <c r="AQ8" s="178"/>
      <c r="AR8" s="163"/>
      <c r="AS8" s="170"/>
      <c r="AT8" s="158">
        <f t="shared" si="4"/>
        <v>740.09376999999995</v>
      </c>
      <c r="AU8" s="156">
        <v>967</v>
      </c>
      <c r="AV8" s="1" t="s">
        <v>37</v>
      </c>
      <c r="AW8" s="158">
        <f t="shared" si="5"/>
        <v>138.89004501561067</v>
      </c>
      <c r="AX8" s="1" t="s">
        <v>54</v>
      </c>
      <c r="AY8" s="1" t="str">
        <f t="shared" si="10"/>
        <v>Agreement Done</v>
      </c>
      <c r="AZ8" s="179"/>
      <c r="BA8" s="179"/>
      <c r="BB8" s="222" t="str">
        <f t="shared" si="11"/>
        <v>SendMessage</v>
      </c>
      <c r="BC8" s="1"/>
    </row>
    <row r="9" spans="1:56" s="4" customFormat="1" ht="15" hidden="1">
      <c r="A9" s="215" t="s">
        <v>9</v>
      </c>
      <c r="B9" s="1"/>
      <c r="C9" s="1" t="s">
        <v>1</v>
      </c>
      <c r="D9" s="155" t="s">
        <v>178</v>
      </c>
      <c r="E9" s="156">
        <v>1630</v>
      </c>
      <c r="F9" s="218">
        <f t="shared" si="0"/>
        <v>0</v>
      </c>
      <c r="G9" s="218"/>
      <c r="H9" s="167"/>
      <c r="I9" s="167">
        <f t="shared" si="1"/>
        <v>0</v>
      </c>
      <c r="J9" s="233"/>
      <c r="K9" s="159"/>
      <c r="L9" s="167" t="e">
        <f t="shared" si="2"/>
        <v>#DIV/0!</v>
      </c>
      <c r="M9" s="167" t="e">
        <f t="shared" si="6"/>
        <v>#DIV/0!</v>
      </c>
      <c r="N9" s="167">
        <f t="shared" si="3"/>
        <v>0</v>
      </c>
      <c r="O9" s="167">
        <f t="shared" si="7"/>
        <v>0</v>
      </c>
      <c r="P9" s="33"/>
      <c r="Q9" s="1"/>
      <c r="R9" s="1"/>
      <c r="S9" s="169"/>
      <c r="T9" s="169"/>
      <c r="U9" s="160"/>
      <c r="V9" s="1"/>
      <c r="W9" s="1" t="str">
        <f t="shared" si="8"/>
        <v/>
      </c>
      <c r="X9" s="161" t="s">
        <v>182</v>
      </c>
      <c r="Y9" s="161" t="str">
        <f t="shared" si="12"/>
        <v>Nil</v>
      </c>
      <c r="Z9" s="161" t="str">
        <f t="shared" si="13"/>
        <v>Nil</v>
      </c>
      <c r="AA9" s="161" t="str">
        <f t="shared" si="14"/>
        <v>Nil</v>
      </c>
      <c r="AB9" s="161" t="str">
        <f t="shared" si="15"/>
        <v>Nil</v>
      </c>
      <c r="AC9" s="161" t="str">
        <f t="shared" si="16"/>
        <v>Nil</v>
      </c>
      <c r="AD9" s="161" t="str">
        <f t="shared" si="17"/>
        <v>Nil</v>
      </c>
      <c r="AE9" s="161" t="str">
        <f t="shared" si="18"/>
        <v>Nil</v>
      </c>
      <c r="AF9" s="161" t="str">
        <f t="shared" si="19"/>
        <v>Nil</v>
      </c>
      <c r="AG9" s="162" t="s">
        <v>182</v>
      </c>
      <c r="AH9" s="162" t="str">
        <f t="shared" si="9"/>
        <v>Nil</v>
      </c>
      <c r="AI9" s="162" t="str">
        <f t="shared" si="20"/>
        <v>Nil</v>
      </c>
      <c r="AJ9" s="162" t="str">
        <f t="shared" si="21"/>
        <v>Nil</v>
      </c>
      <c r="AK9" s="162" t="str">
        <f t="shared" si="22"/>
        <v>Nil</v>
      </c>
      <c r="AL9" s="162" t="str">
        <f t="shared" si="23"/>
        <v>Nil</v>
      </c>
      <c r="AM9" s="162" t="str">
        <f t="shared" si="24"/>
        <v>Nil</v>
      </c>
      <c r="AN9" s="162" t="str">
        <f t="shared" si="25"/>
        <v>Nil</v>
      </c>
      <c r="AO9" s="162" t="str">
        <f t="shared" si="26"/>
        <v>Nil</v>
      </c>
      <c r="AP9" s="163"/>
      <c r="AQ9" s="178"/>
      <c r="AR9" s="163"/>
      <c r="AS9" s="170"/>
      <c r="AT9" s="158">
        <f t="shared" si="4"/>
        <v>806.92498000000001</v>
      </c>
      <c r="AU9" s="156">
        <v>1074</v>
      </c>
      <c r="AV9" s="1" t="s">
        <v>37</v>
      </c>
      <c r="AW9" s="158">
        <f t="shared" si="5"/>
        <v>151.43195543508054</v>
      </c>
      <c r="AX9" s="1" t="s">
        <v>54</v>
      </c>
      <c r="AY9" s="1" t="str">
        <f t="shared" si="10"/>
        <v>Agreement Done</v>
      </c>
      <c r="AZ9" s="179"/>
      <c r="BA9" s="179"/>
      <c r="BB9" s="222" t="str">
        <f t="shared" si="11"/>
        <v>SendMessage</v>
      </c>
      <c r="BC9" s="1"/>
    </row>
    <row r="10" spans="1:56" s="4" customFormat="1" ht="15" hidden="1">
      <c r="A10" s="215" t="s">
        <v>10</v>
      </c>
      <c r="B10" s="1"/>
      <c r="C10" s="1" t="s">
        <v>1</v>
      </c>
      <c r="D10" s="155" t="s">
        <v>178</v>
      </c>
      <c r="E10" s="156">
        <v>1560</v>
      </c>
      <c r="F10" s="218">
        <f t="shared" si="0"/>
        <v>0</v>
      </c>
      <c r="G10" s="218"/>
      <c r="H10" s="167"/>
      <c r="I10" s="167">
        <f t="shared" si="1"/>
        <v>0</v>
      </c>
      <c r="J10" s="233"/>
      <c r="K10" s="159"/>
      <c r="L10" s="167" t="e">
        <f t="shared" si="2"/>
        <v>#DIV/0!</v>
      </c>
      <c r="M10" s="167" t="e">
        <f t="shared" si="6"/>
        <v>#DIV/0!</v>
      </c>
      <c r="N10" s="167">
        <f t="shared" si="3"/>
        <v>0</v>
      </c>
      <c r="O10" s="167">
        <f t="shared" si="7"/>
        <v>0</v>
      </c>
      <c r="P10" s="33"/>
      <c r="Q10" s="1"/>
      <c r="R10" s="1"/>
      <c r="S10" s="169"/>
      <c r="T10" s="169"/>
      <c r="U10" s="160"/>
      <c r="V10" s="1"/>
      <c r="W10" s="1" t="str">
        <f t="shared" si="8"/>
        <v/>
      </c>
      <c r="X10" s="161" t="s">
        <v>182</v>
      </c>
      <c r="Y10" s="161" t="str">
        <f t="shared" si="12"/>
        <v>Nil</v>
      </c>
      <c r="Z10" s="161" t="str">
        <f t="shared" si="13"/>
        <v>Nil</v>
      </c>
      <c r="AA10" s="161" t="str">
        <f t="shared" si="14"/>
        <v>Nil</v>
      </c>
      <c r="AB10" s="161" t="str">
        <f t="shared" si="15"/>
        <v>Nil</v>
      </c>
      <c r="AC10" s="161" t="str">
        <f t="shared" si="16"/>
        <v>Nil</v>
      </c>
      <c r="AD10" s="161" t="str">
        <f t="shared" si="17"/>
        <v>Nil</v>
      </c>
      <c r="AE10" s="161" t="str">
        <f t="shared" si="18"/>
        <v>Nil</v>
      </c>
      <c r="AF10" s="161" t="str">
        <f t="shared" si="19"/>
        <v>Nil</v>
      </c>
      <c r="AG10" s="162" t="s">
        <v>182</v>
      </c>
      <c r="AH10" s="162" t="str">
        <f t="shared" si="9"/>
        <v>Nil</v>
      </c>
      <c r="AI10" s="162" t="str">
        <f t="shared" si="20"/>
        <v>Nil</v>
      </c>
      <c r="AJ10" s="162" t="str">
        <f t="shared" si="21"/>
        <v>Nil</v>
      </c>
      <c r="AK10" s="162" t="str">
        <f t="shared" si="22"/>
        <v>Nil</v>
      </c>
      <c r="AL10" s="162" t="str">
        <f t="shared" si="23"/>
        <v>Nil</v>
      </c>
      <c r="AM10" s="162" t="str">
        <f t="shared" si="24"/>
        <v>Nil</v>
      </c>
      <c r="AN10" s="162" t="str">
        <f t="shared" si="25"/>
        <v>Nil</v>
      </c>
      <c r="AO10" s="162" t="str">
        <f t="shared" si="26"/>
        <v>Nil</v>
      </c>
      <c r="AP10" s="163"/>
      <c r="AQ10" s="178"/>
      <c r="AR10" s="163"/>
      <c r="AS10" s="170"/>
      <c r="AT10" s="158">
        <f t="shared" si="4"/>
        <v>772.27175999999997</v>
      </c>
      <c r="AU10" s="156">
        <v>984</v>
      </c>
      <c r="AV10" s="1" t="s">
        <v>37</v>
      </c>
      <c r="AW10" s="158">
        <f t="shared" si="5"/>
        <v>144.92874262498506</v>
      </c>
      <c r="AX10" s="1" t="s">
        <v>54</v>
      </c>
      <c r="AY10" s="1" t="str">
        <f t="shared" si="10"/>
        <v>Agreement Done</v>
      </c>
      <c r="AZ10" s="179"/>
      <c r="BA10" s="179"/>
      <c r="BB10" s="222" t="str">
        <f t="shared" si="11"/>
        <v>SendMessage</v>
      </c>
      <c r="BC10" s="1"/>
    </row>
    <row r="11" spans="1:56" s="4" customFormat="1" ht="15">
      <c r="A11" s="215" t="s">
        <v>11</v>
      </c>
      <c r="B11" s="1" t="s">
        <v>683</v>
      </c>
      <c r="C11" s="1" t="s">
        <v>1</v>
      </c>
      <c r="D11" s="155" t="s">
        <v>178</v>
      </c>
      <c r="E11" s="217">
        <v>1510</v>
      </c>
      <c r="F11" s="218">
        <f t="shared" si="0"/>
        <v>10305750</v>
      </c>
      <c r="G11" s="218"/>
      <c r="H11" s="218">
        <f>'0305'!$E$19</f>
        <v>2576439</v>
      </c>
      <c r="I11" s="218">
        <f t="shared" si="1"/>
        <v>7729311</v>
      </c>
      <c r="J11" s="232"/>
      <c r="K11" s="159">
        <v>6500</v>
      </c>
      <c r="L11" s="218">
        <f t="shared" si="2"/>
        <v>25.000014554981441</v>
      </c>
      <c r="M11" s="218">
        <f t="shared" si="6"/>
        <v>74.999985445018552</v>
      </c>
      <c r="N11" s="218">
        <f t="shared" si="3"/>
        <v>4122300</v>
      </c>
      <c r="O11" s="218">
        <f t="shared" si="7"/>
        <v>1545861</v>
      </c>
      <c r="P11" s="33" t="s">
        <v>503</v>
      </c>
      <c r="Q11" s="1" t="s">
        <v>841</v>
      </c>
      <c r="R11" s="1" t="s">
        <v>484</v>
      </c>
      <c r="S11" s="169">
        <f>'0305'!G4</f>
        <v>1729311</v>
      </c>
      <c r="T11" s="169">
        <f>'0305'!H4</f>
        <v>6000000</v>
      </c>
      <c r="U11" s="160">
        <v>46054</v>
      </c>
      <c r="V11" s="1" t="s">
        <v>595</v>
      </c>
      <c r="W11" s="160">
        <v>46069</v>
      </c>
      <c r="X11" s="161" t="s">
        <v>680</v>
      </c>
      <c r="Y11" s="161" t="s">
        <v>606</v>
      </c>
      <c r="Z11" s="161" t="s">
        <v>686</v>
      </c>
      <c r="AA11" s="161" t="s">
        <v>602</v>
      </c>
      <c r="AB11" s="161">
        <v>48</v>
      </c>
      <c r="AC11" s="161" t="s">
        <v>681</v>
      </c>
      <c r="AD11" s="161" t="s">
        <v>682</v>
      </c>
      <c r="AE11" s="161" t="s">
        <v>607</v>
      </c>
      <c r="AF11" s="161" t="s">
        <v>605</v>
      </c>
      <c r="AG11" s="162" t="s">
        <v>669</v>
      </c>
      <c r="AH11" s="162" t="s">
        <v>601</v>
      </c>
      <c r="AI11" s="162" t="s">
        <v>679</v>
      </c>
      <c r="AJ11" s="162" t="s">
        <v>602</v>
      </c>
      <c r="AK11" s="162">
        <v>40</v>
      </c>
      <c r="AL11" s="162" t="s">
        <v>604</v>
      </c>
      <c r="AM11" s="224"/>
      <c r="AN11" s="162" t="s">
        <v>603</v>
      </c>
      <c r="AO11" s="162" t="s">
        <v>600</v>
      </c>
      <c r="AP11" s="163" t="s">
        <v>598</v>
      </c>
      <c r="AQ11" s="178"/>
      <c r="AR11" s="163" t="s">
        <v>599</v>
      </c>
      <c r="AS11" s="170">
        <v>200000</v>
      </c>
      <c r="AT11" s="158">
        <f t="shared" si="4"/>
        <v>747.51945999999998</v>
      </c>
      <c r="AU11" s="156">
        <v>945</v>
      </c>
      <c r="AV11" s="1" t="s">
        <v>37</v>
      </c>
      <c r="AW11" s="158">
        <f t="shared" si="5"/>
        <v>140.283590617774</v>
      </c>
      <c r="AX11" s="1" t="s">
        <v>54</v>
      </c>
      <c r="AY11" s="1" t="str">
        <f t="shared" si="10"/>
        <v>Agreement Done</v>
      </c>
      <c r="AZ11" s="179"/>
      <c r="BA11" s="179"/>
      <c r="BB11" s="222" t="str">
        <f t="shared" si="11"/>
        <v>SendMessage</v>
      </c>
      <c r="BC11" s="1"/>
    </row>
    <row r="12" spans="1:56" s="4" customFormat="1" ht="15" hidden="1">
      <c r="A12" s="215" t="s">
        <v>12</v>
      </c>
      <c r="B12" s="1"/>
      <c r="C12" s="1" t="s">
        <v>1</v>
      </c>
      <c r="D12" s="155" t="s">
        <v>177</v>
      </c>
      <c r="E12" s="156">
        <v>1265</v>
      </c>
      <c r="F12" s="218">
        <f t="shared" si="0"/>
        <v>0</v>
      </c>
      <c r="G12" s="218"/>
      <c r="H12" s="167"/>
      <c r="I12" s="167">
        <f t="shared" si="1"/>
        <v>0</v>
      </c>
      <c r="J12" s="233"/>
      <c r="K12" s="159"/>
      <c r="L12" s="167" t="e">
        <f t="shared" si="2"/>
        <v>#DIV/0!</v>
      </c>
      <c r="M12" s="167" t="e">
        <f t="shared" si="6"/>
        <v>#DIV/0!</v>
      </c>
      <c r="N12" s="167">
        <f t="shared" si="3"/>
        <v>0</v>
      </c>
      <c r="O12" s="167">
        <f t="shared" si="7"/>
        <v>0</v>
      </c>
      <c r="P12" s="33"/>
      <c r="Q12" s="1"/>
      <c r="R12" s="1"/>
      <c r="S12" s="169"/>
      <c r="T12" s="169"/>
      <c r="U12" s="160"/>
      <c r="V12" s="1"/>
      <c r="W12" s="1" t="str">
        <f t="shared" si="8"/>
        <v/>
      </c>
      <c r="X12" s="161" t="s">
        <v>182</v>
      </c>
      <c r="Y12" s="161" t="str">
        <f t="shared" ref="Y12" si="27">IF(X12="Nil","Nil","")</f>
        <v>Nil</v>
      </c>
      <c r="Z12" s="161" t="str">
        <f t="shared" ref="Z12" si="28">IF(X12="Nil","Nil","")</f>
        <v>Nil</v>
      </c>
      <c r="AA12" s="161"/>
      <c r="AB12" s="161" t="str">
        <f t="shared" ref="AB12" si="29">IF(X12="Nil","Nil","")</f>
        <v>Nil</v>
      </c>
      <c r="AC12" s="161" t="str">
        <f t="shared" ref="AC12" si="30">IF(X12="Nil","Nil","")</f>
        <v>Nil</v>
      </c>
      <c r="AD12" s="161" t="str">
        <f t="shared" ref="AD12" si="31">IF(X12="Nil","Nil","")</f>
        <v>Nil</v>
      </c>
      <c r="AE12" s="161" t="str">
        <f t="shared" ref="AE12" si="32">IF(X12="Nil","Nil","")</f>
        <v>Nil</v>
      </c>
      <c r="AF12" s="161" t="str">
        <f t="shared" ref="AF12" si="33">IF(X12="Nil","Nil","")</f>
        <v>Nil</v>
      </c>
      <c r="AG12" s="162" t="s">
        <v>182</v>
      </c>
      <c r="AH12" s="162" t="str">
        <f t="shared" si="9"/>
        <v>Nil</v>
      </c>
      <c r="AI12" s="162" t="str">
        <f t="shared" si="20"/>
        <v>Nil</v>
      </c>
      <c r="AJ12" s="162" t="str">
        <f t="shared" si="21"/>
        <v>Nil</v>
      </c>
      <c r="AK12" s="162" t="str">
        <f t="shared" si="22"/>
        <v>Nil</v>
      </c>
      <c r="AL12" s="162" t="str">
        <f t="shared" si="23"/>
        <v>Nil</v>
      </c>
      <c r="AM12" s="162" t="str">
        <f t="shared" si="24"/>
        <v>Nil</v>
      </c>
      <c r="AN12" s="162" t="str">
        <f t="shared" si="25"/>
        <v>Nil</v>
      </c>
      <c r="AO12" s="162" t="str">
        <f t="shared" si="26"/>
        <v>Nil</v>
      </c>
      <c r="AP12" s="163"/>
      <c r="AQ12" s="178"/>
      <c r="AR12" s="163"/>
      <c r="AS12" s="170"/>
      <c r="AT12" s="158">
        <f t="shared" si="4"/>
        <v>626.23319000000004</v>
      </c>
      <c r="AU12" s="156">
        <v>770</v>
      </c>
      <c r="AV12" s="1" t="s">
        <v>38</v>
      </c>
      <c r="AW12" s="158">
        <f t="shared" si="5"/>
        <v>117.5223457824398</v>
      </c>
      <c r="AX12" s="1" t="s">
        <v>54</v>
      </c>
      <c r="AY12" s="1" t="str">
        <f t="shared" si="10"/>
        <v>Agreement Done</v>
      </c>
      <c r="AZ12" s="179"/>
      <c r="BA12" s="179"/>
      <c r="BB12" s="222" t="str">
        <f t="shared" si="11"/>
        <v>SendMessage</v>
      </c>
      <c r="BC12" s="1"/>
    </row>
    <row r="13" spans="1:56" s="4" customFormat="1" ht="15" hidden="1">
      <c r="A13" s="215" t="s">
        <v>13</v>
      </c>
      <c r="B13" s="1"/>
      <c r="C13" s="1" t="s">
        <v>1</v>
      </c>
      <c r="D13" s="155" t="s">
        <v>178</v>
      </c>
      <c r="E13" s="156">
        <v>1495</v>
      </c>
      <c r="F13" s="218">
        <f t="shared" si="0"/>
        <v>0</v>
      </c>
      <c r="G13" s="218"/>
      <c r="H13" s="167"/>
      <c r="I13" s="167">
        <f t="shared" si="1"/>
        <v>0</v>
      </c>
      <c r="J13" s="233"/>
      <c r="K13" s="159"/>
      <c r="L13" s="167" t="e">
        <f t="shared" si="2"/>
        <v>#DIV/0!</v>
      </c>
      <c r="M13" s="167" t="e">
        <f t="shared" si="6"/>
        <v>#DIV/0!</v>
      </c>
      <c r="N13" s="167">
        <f t="shared" si="3"/>
        <v>0</v>
      </c>
      <c r="O13" s="167">
        <f t="shared" si="7"/>
        <v>0</v>
      </c>
      <c r="P13" s="33"/>
      <c r="Q13" s="1"/>
      <c r="R13" s="1"/>
      <c r="S13" s="169"/>
      <c r="T13" s="169"/>
      <c r="U13" s="160"/>
      <c r="V13" s="1"/>
      <c r="W13" s="1" t="str">
        <f t="shared" si="8"/>
        <v/>
      </c>
      <c r="X13" s="161" t="s">
        <v>182</v>
      </c>
      <c r="Y13" s="161" t="str">
        <f t="shared" si="12"/>
        <v>Nil</v>
      </c>
      <c r="Z13" s="161" t="str">
        <f t="shared" si="13"/>
        <v>Nil</v>
      </c>
      <c r="AA13" s="161" t="str">
        <f t="shared" si="14"/>
        <v>Nil</v>
      </c>
      <c r="AB13" s="161" t="str">
        <f t="shared" si="15"/>
        <v>Nil</v>
      </c>
      <c r="AC13" s="161" t="str">
        <f t="shared" si="16"/>
        <v>Nil</v>
      </c>
      <c r="AD13" s="161" t="str">
        <f t="shared" si="17"/>
        <v>Nil</v>
      </c>
      <c r="AE13" s="161" t="str">
        <f t="shared" si="18"/>
        <v>Nil</v>
      </c>
      <c r="AF13" s="161" t="str">
        <f t="shared" si="19"/>
        <v>Nil</v>
      </c>
      <c r="AG13" s="162" t="s">
        <v>182</v>
      </c>
      <c r="AH13" s="162" t="str">
        <f t="shared" si="9"/>
        <v>Nil</v>
      </c>
      <c r="AI13" s="162" t="str">
        <f t="shared" si="20"/>
        <v>Nil</v>
      </c>
      <c r="AJ13" s="162" t="str">
        <f t="shared" si="21"/>
        <v>Nil</v>
      </c>
      <c r="AK13" s="162" t="str">
        <f t="shared" si="22"/>
        <v>Nil</v>
      </c>
      <c r="AL13" s="162" t="str">
        <f t="shared" si="23"/>
        <v>Nil</v>
      </c>
      <c r="AM13" s="162" t="str">
        <f t="shared" si="24"/>
        <v>Nil</v>
      </c>
      <c r="AN13" s="162" t="str">
        <f t="shared" si="25"/>
        <v>Nil</v>
      </c>
      <c r="AO13" s="162" t="str">
        <f t="shared" si="26"/>
        <v>Nil</v>
      </c>
      <c r="AP13" s="163"/>
      <c r="AQ13" s="178"/>
      <c r="AR13" s="163"/>
      <c r="AS13" s="170"/>
      <c r="AT13" s="158">
        <f t="shared" si="4"/>
        <v>740.09376999999995</v>
      </c>
      <c r="AU13" s="156">
        <v>967</v>
      </c>
      <c r="AV13" s="1" t="s">
        <v>38</v>
      </c>
      <c r="AW13" s="158">
        <f t="shared" si="5"/>
        <v>138.89004501561067</v>
      </c>
      <c r="AX13" s="1" t="s">
        <v>54</v>
      </c>
      <c r="AY13" s="1" t="str">
        <f t="shared" si="10"/>
        <v>Agreement Done</v>
      </c>
      <c r="AZ13" s="179"/>
      <c r="BA13" s="179"/>
      <c r="BB13" s="222" t="str">
        <f t="shared" si="11"/>
        <v>SendMessage</v>
      </c>
      <c r="BC13" s="1"/>
    </row>
    <row r="14" spans="1:56" s="4" customFormat="1" ht="15" hidden="1">
      <c r="A14" s="215" t="s">
        <v>14</v>
      </c>
      <c r="B14" s="1"/>
      <c r="C14" s="1" t="s">
        <v>1</v>
      </c>
      <c r="D14" s="155" t="s">
        <v>178</v>
      </c>
      <c r="E14" s="156">
        <v>1630</v>
      </c>
      <c r="F14" s="218">
        <f t="shared" si="0"/>
        <v>0</v>
      </c>
      <c r="G14" s="218"/>
      <c r="H14" s="167"/>
      <c r="I14" s="167">
        <f t="shared" si="1"/>
        <v>0</v>
      </c>
      <c r="J14" s="233"/>
      <c r="K14" s="159"/>
      <c r="L14" s="167" t="e">
        <f t="shared" si="2"/>
        <v>#DIV/0!</v>
      </c>
      <c r="M14" s="167" t="e">
        <f t="shared" si="6"/>
        <v>#DIV/0!</v>
      </c>
      <c r="N14" s="167">
        <f t="shared" si="3"/>
        <v>0</v>
      </c>
      <c r="O14" s="167">
        <f t="shared" si="7"/>
        <v>0</v>
      </c>
      <c r="P14" s="33"/>
      <c r="Q14" s="1"/>
      <c r="R14" s="1"/>
      <c r="S14" s="169"/>
      <c r="T14" s="169"/>
      <c r="U14" s="160"/>
      <c r="V14" s="1"/>
      <c r="W14" s="1" t="str">
        <f t="shared" si="8"/>
        <v/>
      </c>
      <c r="X14" s="161" t="s">
        <v>182</v>
      </c>
      <c r="Y14" s="161" t="str">
        <f t="shared" si="12"/>
        <v>Nil</v>
      </c>
      <c r="Z14" s="161" t="str">
        <f t="shared" si="13"/>
        <v>Nil</v>
      </c>
      <c r="AA14" s="161" t="str">
        <f t="shared" si="14"/>
        <v>Nil</v>
      </c>
      <c r="AB14" s="161" t="str">
        <f t="shared" si="15"/>
        <v>Nil</v>
      </c>
      <c r="AC14" s="161" t="str">
        <f t="shared" si="16"/>
        <v>Nil</v>
      </c>
      <c r="AD14" s="161" t="str">
        <f t="shared" si="17"/>
        <v>Nil</v>
      </c>
      <c r="AE14" s="161" t="str">
        <f t="shared" si="18"/>
        <v>Nil</v>
      </c>
      <c r="AF14" s="161" t="str">
        <f t="shared" si="19"/>
        <v>Nil</v>
      </c>
      <c r="AG14" s="162" t="s">
        <v>182</v>
      </c>
      <c r="AH14" s="162" t="str">
        <f t="shared" si="9"/>
        <v>Nil</v>
      </c>
      <c r="AI14" s="162" t="str">
        <f t="shared" si="20"/>
        <v>Nil</v>
      </c>
      <c r="AJ14" s="162" t="str">
        <f t="shared" si="21"/>
        <v>Nil</v>
      </c>
      <c r="AK14" s="162" t="str">
        <f t="shared" si="22"/>
        <v>Nil</v>
      </c>
      <c r="AL14" s="162" t="str">
        <f t="shared" si="23"/>
        <v>Nil</v>
      </c>
      <c r="AM14" s="162" t="str">
        <f t="shared" si="24"/>
        <v>Nil</v>
      </c>
      <c r="AN14" s="162" t="str">
        <f t="shared" si="25"/>
        <v>Nil</v>
      </c>
      <c r="AO14" s="162" t="str">
        <f t="shared" si="26"/>
        <v>Nil</v>
      </c>
      <c r="AP14" s="163"/>
      <c r="AQ14" s="178"/>
      <c r="AR14" s="163"/>
      <c r="AS14" s="170"/>
      <c r="AT14" s="158">
        <f t="shared" si="4"/>
        <v>806.92498000000001</v>
      </c>
      <c r="AU14" s="156">
        <v>1074</v>
      </c>
      <c r="AV14" s="1" t="s">
        <v>38</v>
      </c>
      <c r="AW14" s="158">
        <f t="shared" si="5"/>
        <v>151.43195543508054</v>
      </c>
      <c r="AX14" s="1" t="s">
        <v>54</v>
      </c>
      <c r="AY14" s="1" t="str">
        <f t="shared" si="10"/>
        <v>Agreement Done</v>
      </c>
      <c r="AZ14" s="179"/>
      <c r="BA14" s="179"/>
      <c r="BB14" s="222" t="str">
        <f t="shared" si="11"/>
        <v>SendMessage</v>
      </c>
      <c r="BC14" s="1"/>
    </row>
    <row r="15" spans="1:56" s="4" customFormat="1" ht="15" hidden="1">
      <c r="A15" s="215" t="s">
        <v>15</v>
      </c>
      <c r="B15" s="1"/>
      <c r="C15" s="1" t="s">
        <v>1</v>
      </c>
      <c r="D15" s="155" t="s">
        <v>178</v>
      </c>
      <c r="E15" s="156">
        <v>1560</v>
      </c>
      <c r="F15" s="218">
        <f t="shared" si="0"/>
        <v>0</v>
      </c>
      <c r="G15" s="218"/>
      <c r="H15" s="167"/>
      <c r="I15" s="167">
        <f t="shared" si="1"/>
        <v>0</v>
      </c>
      <c r="J15" s="233"/>
      <c r="K15" s="159"/>
      <c r="L15" s="167" t="e">
        <f t="shared" si="2"/>
        <v>#DIV/0!</v>
      </c>
      <c r="M15" s="167" t="e">
        <f t="shared" si="6"/>
        <v>#DIV/0!</v>
      </c>
      <c r="N15" s="167">
        <f t="shared" si="3"/>
        <v>0</v>
      </c>
      <c r="O15" s="167">
        <f t="shared" si="7"/>
        <v>0</v>
      </c>
      <c r="P15" s="33"/>
      <c r="Q15" s="1"/>
      <c r="R15" s="1"/>
      <c r="S15" s="169"/>
      <c r="T15" s="169"/>
      <c r="U15" s="160"/>
      <c r="V15" s="1"/>
      <c r="W15" s="1" t="str">
        <f t="shared" si="8"/>
        <v/>
      </c>
      <c r="X15" s="161" t="s">
        <v>182</v>
      </c>
      <c r="Y15" s="161" t="str">
        <f t="shared" si="12"/>
        <v>Nil</v>
      </c>
      <c r="Z15" s="161" t="str">
        <f t="shared" si="13"/>
        <v>Nil</v>
      </c>
      <c r="AA15" s="161" t="str">
        <f t="shared" si="14"/>
        <v>Nil</v>
      </c>
      <c r="AB15" s="161" t="str">
        <f t="shared" si="15"/>
        <v>Nil</v>
      </c>
      <c r="AC15" s="161" t="str">
        <f t="shared" si="16"/>
        <v>Nil</v>
      </c>
      <c r="AD15" s="161" t="str">
        <f t="shared" si="17"/>
        <v>Nil</v>
      </c>
      <c r="AE15" s="161" t="str">
        <f t="shared" si="18"/>
        <v>Nil</v>
      </c>
      <c r="AF15" s="161" t="str">
        <f t="shared" si="19"/>
        <v>Nil</v>
      </c>
      <c r="AG15" s="162" t="s">
        <v>182</v>
      </c>
      <c r="AH15" s="162" t="str">
        <f t="shared" si="9"/>
        <v>Nil</v>
      </c>
      <c r="AI15" s="162" t="str">
        <f t="shared" si="20"/>
        <v>Nil</v>
      </c>
      <c r="AJ15" s="162" t="str">
        <f t="shared" si="21"/>
        <v>Nil</v>
      </c>
      <c r="AK15" s="162" t="str">
        <f t="shared" si="22"/>
        <v>Nil</v>
      </c>
      <c r="AL15" s="162" t="str">
        <f t="shared" si="23"/>
        <v>Nil</v>
      </c>
      <c r="AM15" s="162" t="str">
        <f t="shared" si="24"/>
        <v>Nil</v>
      </c>
      <c r="AN15" s="162" t="str">
        <f t="shared" si="25"/>
        <v>Nil</v>
      </c>
      <c r="AO15" s="162" t="str">
        <f t="shared" si="26"/>
        <v>Nil</v>
      </c>
      <c r="AP15" s="163"/>
      <c r="AQ15" s="178"/>
      <c r="AR15" s="163"/>
      <c r="AS15" s="170"/>
      <c r="AT15" s="158">
        <f t="shared" si="4"/>
        <v>772.27175999999997</v>
      </c>
      <c r="AU15" s="156">
        <v>984</v>
      </c>
      <c r="AV15" s="1" t="s">
        <v>38</v>
      </c>
      <c r="AW15" s="158">
        <f t="shared" si="5"/>
        <v>144.92874262498506</v>
      </c>
      <c r="AX15" s="1" t="s">
        <v>54</v>
      </c>
      <c r="AY15" s="1" t="str">
        <f t="shared" si="10"/>
        <v>Agreement Done</v>
      </c>
      <c r="AZ15" s="179"/>
      <c r="BA15" s="179"/>
      <c r="BB15" s="222" t="str">
        <f t="shared" si="11"/>
        <v>SendMessage</v>
      </c>
      <c r="BC15" s="1"/>
    </row>
    <row r="16" spans="1:56" s="4" customFormat="1" ht="15" hidden="1">
      <c r="A16" s="215" t="s">
        <v>16</v>
      </c>
      <c r="B16" s="1"/>
      <c r="C16" s="1" t="s">
        <v>1</v>
      </c>
      <c r="D16" s="155" t="s">
        <v>178</v>
      </c>
      <c r="E16" s="156">
        <v>1510</v>
      </c>
      <c r="F16" s="218">
        <f t="shared" si="0"/>
        <v>0</v>
      </c>
      <c r="G16" s="218"/>
      <c r="H16" s="167"/>
      <c r="I16" s="167">
        <f t="shared" si="1"/>
        <v>0</v>
      </c>
      <c r="J16" s="233"/>
      <c r="K16" s="159"/>
      <c r="L16" s="167" t="e">
        <f t="shared" si="2"/>
        <v>#DIV/0!</v>
      </c>
      <c r="M16" s="167" t="e">
        <f t="shared" si="6"/>
        <v>#DIV/0!</v>
      </c>
      <c r="N16" s="167">
        <f t="shared" si="3"/>
        <v>0</v>
      </c>
      <c r="O16" s="167">
        <f t="shared" si="7"/>
        <v>0</v>
      </c>
      <c r="P16" s="33"/>
      <c r="Q16" s="1"/>
      <c r="R16" s="1"/>
      <c r="S16" s="169"/>
      <c r="T16" s="169"/>
      <c r="U16" s="160"/>
      <c r="V16" s="1"/>
      <c r="W16" s="1" t="str">
        <f t="shared" si="8"/>
        <v/>
      </c>
      <c r="X16" s="161" t="s">
        <v>182</v>
      </c>
      <c r="Y16" s="161" t="str">
        <f t="shared" si="12"/>
        <v>Nil</v>
      </c>
      <c r="Z16" s="161" t="str">
        <f t="shared" si="13"/>
        <v>Nil</v>
      </c>
      <c r="AA16" s="161" t="str">
        <f t="shared" si="14"/>
        <v>Nil</v>
      </c>
      <c r="AB16" s="161" t="str">
        <f t="shared" si="15"/>
        <v>Nil</v>
      </c>
      <c r="AC16" s="161" t="str">
        <f t="shared" si="16"/>
        <v>Nil</v>
      </c>
      <c r="AD16" s="161" t="str">
        <f t="shared" si="17"/>
        <v>Nil</v>
      </c>
      <c r="AE16" s="161" t="str">
        <f t="shared" si="18"/>
        <v>Nil</v>
      </c>
      <c r="AF16" s="161" t="str">
        <f t="shared" si="19"/>
        <v>Nil</v>
      </c>
      <c r="AG16" s="162" t="s">
        <v>182</v>
      </c>
      <c r="AH16" s="162" t="str">
        <f t="shared" si="9"/>
        <v>Nil</v>
      </c>
      <c r="AI16" s="162" t="str">
        <f t="shared" si="20"/>
        <v>Nil</v>
      </c>
      <c r="AJ16" s="162" t="str">
        <f t="shared" si="21"/>
        <v>Nil</v>
      </c>
      <c r="AK16" s="162" t="str">
        <f t="shared" si="22"/>
        <v>Nil</v>
      </c>
      <c r="AL16" s="162" t="str">
        <f t="shared" si="23"/>
        <v>Nil</v>
      </c>
      <c r="AM16" s="162" t="str">
        <f t="shared" si="24"/>
        <v>Nil</v>
      </c>
      <c r="AN16" s="162" t="str">
        <f t="shared" si="25"/>
        <v>Nil</v>
      </c>
      <c r="AO16" s="162" t="str">
        <f t="shared" si="26"/>
        <v>Nil</v>
      </c>
      <c r="AP16" s="163"/>
      <c r="AQ16" s="178"/>
      <c r="AR16" s="163"/>
      <c r="AS16" s="170"/>
      <c r="AT16" s="158">
        <f t="shared" si="4"/>
        <v>747.51945999999998</v>
      </c>
      <c r="AU16" s="156">
        <v>945</v>
      </c>
      <c r="AV16" s="1" t="s">
        <v>38</v>
      </c>
      <c r="AW16" s="158">
        <f t="shared" si="5"/>
        <v>140.283590617774</v>
      </c>
      <c r="AX16" s="1" t="s">
        <v>54</v>
      </c>
      <c r="AY16" s="1" t="str">
        <f t="shared" si="10"/>
        <v>Agreement Done</v>
      </c>
      <c r="AZ16" s="179"/>
      <c r="BA16" s="179"/>
      <c r="BB16" s="222" t="str">
        <f t="shared" si="11"/>
        <v>SendMessage</v>
      </c>
      <c r="BC16" s="1"/>
    </row>
    <row r="17" spans="1:56" s="4" customFormat="1" ht="15">
      <c r="A17" s="215" t="s">
        <v>17</v>
      </c>
      <c r="B17" s="1" t="s">
        <v>1046</v>
      </c>
      <c r="C17" s="1" t="s">
        <v>1</v>
      </c>
      <c r="D17" s="155" t="s">
        <v>177</v>
      </c>
      <c r="E17" s="156">
        <v>1265</v>
      </c>
      <c r="F17" s="218">
        <f t="shared" si="0"/>
        <v>9676835</v>
      </c>
      <c r="G17" s="218">
        <v>300000</v>
      </c>
      <c r="H17" s="167">
        <f>'0601'!$E$20</f>
        <v>100000</v>
      </c>
      <c r="I17" s="167">
        <f t="shared" si="1"/>
        <v>9576835</v>
      </c>
      <c r="J17" s="233">
        <f>(((K17*E17)+G17)*0.7)/100</f>
        <v>64085</v>
      </c>
      <c r="K17" s="159">
        <v>7000</v>
      </c>
      <c r="L17" s="167">
        <f t="shared" si="2"/>
        <v>1.0333957332123571</v>
      </c>
      <c r="M17" s="167">
        <f t="shared" si="6"/>
        <v>98.966604266787641</v>
      </c>
      <c r="N17" s="167">
        <f t="shared" si="3"/>
        <v>3870734</v>
      </c>
      <c r="O17" s="167">
        <f t="shared" si="7"/>
        <v>3770734</v>
      </c>
      <c r="P17" s="33"/>
      <c r="Q17" s="1"/>
      <c r="R17" s="1" t="s">
        <v>815</v>
      </c>
      <c r="S17" s="169">
        <f>'0601'!G4</f>
        <v>9215802</v>
      </c>
      <c r="T17" s="169">
        <f>'0601'!H4</f>
        <v>0</v>
      </c>
      <c r="U17" s="160">
        <v>46100</v>
      </c>
      <c r="V17" s="1"/>
      <c r="W17" s="1" t="str">
        <f t="shared" si="8"/>
        <v/>
      </c>
      <c r="X17" s="161" t="s">
        <v>1034</v>
      </c>
      <c r="Y17" s="161" t="s">
        <v>1035</v>
      </c>
      <c r="Z17" s="161" t="s">
        <v>1036</v>
      </c>
      <c r="AA17" s="161" t="s">
        <v>1037</v>
      </c>
      <c r="AB17" s="161">
        <v>35</v>
      </c>
      <c r="AC17" s="238">
        <v>7349367141</v>
      </c>
      <c r="AD17" s="223" t="s">
        <v>1050</v>
      </c>
      <c r="AE17" s="161" t="s">
        <v>1039</v>
      </c>
      <c r="AF17" s="161" t="s">
        <v>1038</v>
      </c>
      <c r="AG17" s="162" t="s">
        <v>1040</v>
      </c>
      <c r="AH17" s="162" t="s">
        <v>1041</v>
      </c>
      <c r="AI17" s="162" t="s">
        <v>1036</v>
      </c>
      <c r="AJ17" s="162" t="s">
        <v>1042</v>
      </c>
      <c r="AK17" s="162">
        <v>30</v>
      </c>
      <c r="AL17" s="162">
        <v>8327731637</v>
      </c>
      <c r="AM17" s="224" t="s">
        <v>1047</v>
      </c>
      <c r="AN17" s="162" t="s">
        <v>1043</v>
      </c>
      <c r="AO17" s="162" t="s">
        <v>1044</v>
      </c>
      <c r="AP17" s="163" t="s">
        <v>1045</v>
      </c>
      <c r="AQ17" s="178">
        <v>46100</v>
      </c>
      <c r="AR17" s="163" t="s">
        <v>260</v>
      </c>
      <c r="AS17" s="170">
        <v>100000</v>
      </c>
      <c r="AT17" s="158">
        <f t="shared" si="4"/>
        <v>626.23319000000004</v>
      </c>
      <c r="AU17" s="156">
        <v>770</v>
      </c>
      <c r="AV17" s="1" t="s">
        <v>39</v>
      </c>
      <c r="AW17" s="158">
        <f t="shared" si="5"/>
        <v>117.5223457824398</v>
      </c>
      <c r="AX17" s="1" t="s">
        <v>54</v>
      </c>
      <c r="AY17" s="1" t="str">
        <f t="shared" si="10"/>
        <v>Agreement Done</v>
      </c>
      <c r="AZ17" s="179"/>
      <c r="BA17" s="179"/>
      <c r="BB17" s="222" t="str">
        <f t="shared" si="11"/>
        <v>SendMessage</v>
      </c>
      <c r="BC17" s="1"/>
    </row>
    <row r="18" spans="1:56" s="4" customFormat="1" ht="15" hidden="1">
      <c r="A18" s="215" t="s">
        <v>18</v>
      </c>
      <c r="B18" s="1"/>
      <c r="C18" s="1" t="s">
        <v>1</v>
      </c>
      <c r="D18" s="155" t="s">
        <v>178</v>
      </c>
      <c r="E18" s="156">
        <v>1495</v>
      </c>
      <c r="F18" s="218">
        <f t="shared" si="0"/>
        <v>0</v>
      </c>
      <c r="G18" s="218"/>
      <c r="H18" s="167"/>
      <c r="I18" s="167">
        <f t="shared" si="1"/>
        <v>0</v>
      </c>
      <c r="J18" s="233"/>
      <c r="K18" s="159"/>
      <c r="L18" s="167" t="e">
        <f t="shared" si="2"/>
        <v>#DIV/0!</v>
      </c>
      <c r="M18" s="167" t="e">
        <f t="shared" si="6"/>
        <v>#DIV/0!</v>
      </c>
      <c r="N18" s="167">
        <f t="shared" si="3"/>
        <v>0</v>
      </c>
      <c r="O18" s="167">
        <f t="shared" si="7"/>
        <v>0</v>
      </c>
      <c r="P18" s="33"/>
      <c r="Q18" s="1"/>
      <c r="R18" s="1"/>
      <c r="S18" s="169"/>
      <c r="T18" s="169"/>
      <c r="U18" s="160"/>
      <c r="V18" s="1"/>
      <c r="W18" s="1" t="str">
        <f t="shared" si="8"/>
        <v/>
      </c>
      <c r="X18" s="161" t="s">
        <v>182</v>
      </c>
      <c r="Y18" s="161" t="str">
        <f t="shared" si="12"/>
        <v>Nil</v>
      </c>
      <c r="Z18" s="161" t="str">
        <f t="shared" si="13"/>
        <v>Nil</v>
      </c>
      <c r="AA18" s="161" t="str">
        <f t="shared" si="14"/>
        <v>Nil</v>
      </c>
      <c r="AB18" s="161" t="str">
        <f t="shared" si="15"/>
        <v>Nil</v>
      </c>
      <c r="AC18" s="161" t="str">
        <f t="shared" si="16"/>
        <v>Nil</v>
      </c>
      <c r="AD18" s="161" t="str">
        <f t="shared" si="17"/>
        <v>Nil</v>
      </c>
      <c r="AE18" s="161" t="str">
        <f t="shared" si="18"/>
        <v>Nil</v>
      </c>
      <c r="AF18" s="161" t="str">
        <f t="shared" si="19"/>
        <v>Nil</v>
      </c>
      <c r="AG18" s="162" t="s">
        <v>182</v>
      </c>
      <c r="AH18" s="162" t="str">
        <f t="shared" si="9"/>
        <v>Nil</v>
      </c>
      <c r="AI18" s="162" t="str">
        <f t="shared" si="20"/>
        <v>Nil</v>
      </c>
      <c r="AJ18" s="162" t="str">
        <f t="shared" si="21"/>
        <v>Nil</v>
      </c>
      <c r="AK18" s="162" t="str">
        <f t="shared" si="22"/>
        <v>Nil</v>
      </c>
      <c r="AL18" s="162" t="str">
        <f t="shared" si="23"/>
        <v>Nil</v>
      </c>
      <c r="AM18" s="162" t="str">
        <f t="shared" si="24"/>
        <v>Nil</v>
      </c>
      <c r="AN18" s="162" t="str">
        <f t="shared" si="25"/>
        <v>Nil</v>
      </c>
      <c r="AO18" s="162" t="str">
        <f t="shared" si="26"/>
        <v>Nil</v>
      </c>
      <c r="AP18" s="163"/>
      <c r="AQ18" s="178"/>
      <c r="AR18" s="163"/>
      <c r="AS18" s="170"/>
      <c r="AT18" s="158">
        <f t="shared" si="4"/>
        <v>740.09376999999995</v>
      </c>
      <c r="AU18" s="156">
        <v>967</v>
      </c>
      <c r="AV18" s="1" t="s">
        <v>39</v>
      </c>
      <c r="AW18" s="158">
        <f t="shared" si="5"/>
        <v>138.89004501561067</v>
      </c>
      <c r="AX18" s="1" t="s">
        <v>54</v>
      </c>
      <c r="AY18" s="1" t="str">
        <f t="shared" si="10"/>
        <v>Agreement Done</v>
      </c>
      <c r="AZ18" s="179"/>
      <c r="BA18" s="179"/>
      <c r="BB18" s="222" t="str">
        <f t="shared" si="11"/>
        <v>SendMessage</v>
      </c>
      <c r="BC18" s="1"/>
    </row>
    <row r="19" spans="1:56" s="4" customFormat="1" ht="15" hidden="1">
      <c r="A19" s="215" t="s">
        <v>19</v>
      </c>
      <c r="B19" s="1"/>
      <c r="C19" s="1" t="s">
        <v>1</v>
      </c>
      <c r="D19" s="155" t="s">
        <v>178</v>
      </c>
      <c r="E19" s="156">
        <v>1630</v>
      </c>
      <c r="F19" s="218">
        <f t="shared" si="0"/>
        <v>0</v>
      </c>
      <c r="G19" s="218"/>
      <c r="H19" s="167"/>
      <c r="I19" s="167">
        <f t="shared" si="1"/>
        <v>0</v>
      </c>
      <c r="J19" s="233"/>
      <c r="K19" s="159"/>
      <c r="L19" s="167" t="e">
        <f t="shared" si="2"/>
        <v>#DIV/0!</v>
      </c>
      <c r="M19" s="167" t="e">
        <f t="shared" si="6"/>
        <v>#DIV/0!</v>
      </c>
      <c r="N19" s="167">
        <f t="shared" si="3"/>
        <v>0</v>
      </c>
      <c r="O19" s="167">
        <f t="shared" si="7"/>
        <v>0</v>
      </c>
      <c r="P19" s="33"/>
      <c r="Q19" s="1"/>
      <c r="R19" s="1"/>
      <c r="S19" s="169"/>
      <c r="T19" s="169"/>
      <c r="U19" s="160"/>
      <c r="V19" s="1"/>
      <c r="W19" s="1" t="str">
        <f t="shared" si="8"/>
        <v/>
      </c>
      <c r="X19" s="161" t="s">
        <v>182</v>
      </c>
      <c r="Y19" s="161" t="str">
        <f t="shared" si="12"/>
        <v>Nil</v>
      </c>
      <c r="Z19" s="161" t="str">
        <f t="shared" si="13"/>
        <v>Nil</v>
      </c>
      <c r="AA19" s="161" t="str">
        <f t="shared" si="14"/>
        <v>Nil</v>
      </c>
      <c r="AB19" s="161" t="str">
        <f t="shared" si="15"/>
        <v>Nil</v>
      </c>
      <c r="AC19" s="161" t="str">
        <f t="shared" si="16"/>
        <v>Nil</v>
      </c>
      <c r="AD19" s="161" t="str">
        <f t="shared" si="17"/>
        <v>Nil</v>
      </c>
      <c r="AE19" s="161" t="str">
        <f t="shared" si="18"/>
        <v>Nil</v>
      </c>
      <c r="AF19" s="161" t="str">
        <f t="shared" si="19"/>
        <v>Nil</v>
      </c>
      <c r="AG19" s="162" t="s">
        <v>182</v>
      </c>
      <c r="AH19" s="162" t="str">
        <f t="shared" si="9"/>
        <v>Nil</v>
      </c>
      <c r="AI19" s="162" t="str">
        <f t="shared" si="20"/>
        <v>Nil</v>
      </c>
      <c r="AJ19" s="162" t="str">
        <f t="shared" si="21"/>
        <v>Nil</v>
      </c>
      <c r="AK19" s="162" t="str">
        <f t="shared" si="22"/>
        <v>Nil</v>
      </c>
      <c r="AL19" s="162" t="str">
        <f t="shared" si="23"/>
        <v>Nil</v>
      </c>
      <c r="AM19" s="162" t="str">
        <f t="shared" si="24"/>
        <v>Nil</v>
      </c>
      <c r="AN19" s="162" t="str">
        <f t="shared" si="25"/>
        <v>Nil</v>
      </c>
      <c r="AO19" s="162" t="str">
        <f t="shared" si="26"/>
        <v>Nil</v>
      </c>
      <c r="AP19" s="163"/>
      <c r="AQ19" s="178"/>
      <c r="AR19" s="163"/>
      <c r="AS19" s="170"/>
      <c r="AT19" s="158">
        <f t="shared" si="4"/>
        <v>806.92498000000001</v>
      </c>
      <c r="AU19" s="156">
        <v>1074</v>
      </c>
      <c r="AV19" s="1" t="s">
        <v>39</v>
      </c>
      <c r="AW19" s="158">
        <f t="shared" si="5"/>
        <v>151.43195543508054</v>
      </c>
      <c r="AX19" s="1" t="s">
        <v>54</v>
      </c>
      <c r="AY19" s="1" t="str">
        <f t="shared" si="10"/>
        <v>Agreement Done</v>
      </c>
      <c r="AZ19" s="179"/>
      <c r="BA19" s="179"/>
      <c r="BB19" s="222" t="str">
        <f t="shared" si="11"/>
        <v>SendMessage</v>
      </c>
      <c r="BC19" s="1"/>
    </row>
    <row r="20" spans="1:56">
      <c r="A20" s="215" t="s">
        <v>20</v>
      </c>
      <c r="B20" s="1" t="s">
        <v>285</v>
      </c>
      <c r="C20" s="1" t="s">
        <v>1</v>
      </c>
      <c r="D20" s="155" t="s">
        <v>178</v>
      </c>
      <c r="E20" s="217">
        <v>1560</v>
      </c>
      <c r="F20" s="218">
        <f t="shared" si="0"/>
        <v>10501218</v>
      </c>
      <c r="G20" s="218"/>
      <c r="H20" s="218">
        <f>'0604'!$E$19</f>
        <v>525061</v>
      </c>
      <c r="I20" s="218">
        <f t="shared" si="1"/>
        <v>9976157</v>
      </c>
      <c r="J20" s="233"/>
      <c r="K20" s="159">
        <v>6411</v>
      </c>
      <c r="L20" s="218">
        <f t="shared" si="2"/>
        <v>5.0000009522704891</v>
      </c>
      <c r="M20" s="218">
        <f t="shared" si="6"/>
        <v>94.999999047729517</v>
      </c>
      <c r="N20" s="218">
        <f t="shared" si="3"/>
        <v>4200487.2</v>
      </c>
      <c r="O20" s="218">
        <f t="shared" si="7"/>
        <v>3675426.2</v>
      </c>
      <c r="P20" s="33" t="s">
        <v>656</v>
      </c>
      <c r="Q20" s="1"/>
      <c r="R20" s="1" t="s">
        <v>484</v>
      </c>
      <c r="S20" s="169">
        <f>'0604'!G4</f>
        <v>9976157</v>
      </c>
      <c r="T20" s="169">
        <f>'0604'!H4</f>
        <v>0</v>
      </c>
      <c r="U20" s="160">
        <v>46036</v>
      </c>
      <c r="V20" s="1" t="s">
        <v>299</v>
      </c>
      <c r="W20" s="160">
        <v>46090</v>
      </c>
      <c r="X20" s="161" t="s">
        <v>285</v>
      </c>
      <c r="Y20" s="161" t="s">
        <v>335</v>
      </c>
      <c r="Z20" s="161" t="s">
        <v>336</v>
      </c>
      <c r="AA20" s="161" t="s">
        <v>172</v>
      </c>
      <c r="AB20" s="161">
        <v>32</v>
      </c>
      <c r="AC20" s="161" t="s">
        <v>332</v>
      </c>
      <c r="AD20" s="223" t="s">
        <v>333</v>
      </c>
      <c r="AE20" s="161" t="s">
        <v>334</v>
      </c>
      <c r="AF20" s="161" t="s">
        <v>337</v>
      </c>
      <c r="AG20" s="162" t="s">
        <v>182</v>
      </c>
      <c r="AH20" s="162" t="str">
        <f t="shared" si="9"/>
        <v>Nil</v>
      </c>
      <c r="AI20" s="162" t="str">
        <f t="shared" si="20"/>
        <v>Nil</v>
      </c>
      <c r="AJ20" s="162" t="str">
        <f t="shared" si="21"/>
        <v>Nil</v>
      </c>
      <c r="AK20" s="162" t="str">
        <f t="shared" si="22"/>
        <v>Nil</v>
      </c>
      <c r="AL20" s="162" t="str">
        <f t="shared" si="23"/>
        <v>Nil</v>
      </c>
      <c r="AM20" s="162" t="str">
        <f t="shared" si="24"/>
        <v>Nil</v>
      </c>
      <c r="AN20" s="162" t="str">
        <f t="shared" si="25"/>
        <v>Nil</v>
      </c>
      <c r="AO20" s="162" t="str">
        <f t="shared" si="26"/>
        <v>Nil</v>
      </c>
      <c r="AP20" s="163" t="s">
        <v>338</v>
      </c>
      <c r="AQ20" s="178">
        <v>46037</v>
      </c>
      <c r="AR20" s="163" t="s">
        <v>339</v>
      </c>
      <c r="AS20" s="170">
        <v>300000</v>
      </c>
      <c r="AT20" s="158">
        <f t="shared" si="4"/>
        <v>772.27175999999997</v>
      </c>
      <c r="AU20" s="156">
        <v>984</v>
      </c>
      <c r="AV20" s="1" t="s">
        <v>39</v>
      </c>
      <c r="AW20" s="158">
        <f t="shared" si="5"/>
        <v>144.92874262498506</v>
      </c>
      <c r="AX20" s="1" t="s">
        <v>54</v>
      </c>
      <c r="AY20" s="1" t="str">
        <f t="shared" si="10"/>
        <v>Agreement Done</v>
      </c>
      <c r="AZ20" s="179"/>
      <c r="BA20" s="179"/>
      <c r="BB20" s="222" t="str">
        <f t="shared" si="11"/>
        <v>SendMessage</v>
      </c>
      <c r="BC20" s="1"/>
      <c r="BD20" s="4"/>
    </row>
    <row r="21" spans="1:56" s="4" customFormat="1" ht="15" hidden="1">
      <c r="A21" s="215" t="s">
        <v>21</v>
      </c>
      <c r="B21" s="1"/>
      <c r="C21" s="1" t="s">
        <v>1</v>
      </c>
      <c r="D21" s="155" t="s">
        <v>178</v>
      </c>
      <c r="E21" s="156">
        <v>1510</v>
      </c>
      <c r="F21" s="218">
        <f t="shared" si="0"/>
        <v>0</v>
      </c>
      <c r="G21" s="218"/>
      <c r="H21" s="167"/>
      <c r="I21" s="167">
        <f t="shared" si="1"/>
        <v>0</v>
      </c>
      <c r="J21" s="233"/>
      <c r="K21" s="159"/>
      <c r="L21" s="167" t="e">
        <f t="shared" si="2"/>
        <v>#DIV/0!</v>
      </c>
      <c r="M21" s="167" t="e">
        <f t="shared" si="6"/>
        <v>#DIV/0!</v>
      </c>
      <c r="N21" s="167">
        <f t="shared" si="3"/>
        <v>0</v>
      </c>
      <c r="O21" s="167">
        <f t="shared" si="7"/>
        <v>0</v>
      </c>
      <c r="P21" s="33"/>
      <c r="Q21" s="1"/>
      <c r="R21" s="1"/>
      <c r="S21" s="169"/>
      <c r="T21" s="169"/>
      <c r="U21" s="160"/>
      <c r="V21" s="1"/>
      <c r="W21" s="1" t="str">
        <f t="shared" si="8"/>
        <v/>
      </c>
      <c r="X21" s="161" t="s">
        <v>182</v>
      </c>
      <c r="Y21" s="161" t="str">
        <f t="shared" si="12"/>
        <v>Nil</v>
      </c>
      <c r="Z21" s="161" t="str">
        <f t="shared" si="13"/>
        <v>Nil</v>
      </c>
      <c r="AA21" s="161" t="str">
        <f t="shared" si="14"/>
        <v>Nil</v>
      </c>
      <c r="AB21" s="161" t="str">
        <f t="shared" si="15"/>
        <v>Nil</v>
      </c>
      <c r="AC21" s="161" t="str">
        <f t="shared" si="16"/>
        <v>Nil</v>
      </c>
      <c r="AD21" s="161" t="str">
        <f t="shared" si="17"/>
        <v>Nil</v>
      </c>
      <c r="AE21" s="161" t="str">
        <f t="shared" si="18"/>
        <v>Nil</v>
      </c>
      <c r="AF21" s="161" t="str">
        <f t="shared" si="19"/>
        <v>Nil</v>
      </c>
      <c r="AG21" s="162" t="s">
        <v>182</v>
      </c>
      <c r="AH21" s="162" t="str">
        <f t="shared" si="9"/>
        <v>Nil</v>
      </c>
      <c r="AI21" s="162" t="str">
        <f t="shared" si="20"/>
        <v>Nil</v>
      </c>
      <c r="AJ21" s="162" t="str">
        <f t="shared" si="21"/>
        <v>Nil</v>
      </c>
      <c r="AK21" s="162" t="str">
        <f t="shared" si="22"/>
        <v>Nil</v>
      </c>
      <c r="AL21" s="162" t="str">
        <f t="shared" si="23"/>
        <v>Nil</v>
      </c>
      <c r="AM21" s="162" t="str">
        <f t="shared" si="24"/>
        <v>Nil</v>
      </c>
      <c r="AN21" s="162" t="str">
        <f t="shared" si="25"/>
        <v>Nil</v>
      </c>
      <c r="AO21" s="162" t="str">
        <f t="shared" si="26"/>
        <v>Nil</v>
      </c>
      <c r="AP21" s="163"/>
      <c r="AQ21" s="178"/>
      <c r="AR21" s="163"/>
      <c r="AS21" s="170"/>
      <c r="AT21" s="158">
        <f t="shared" si="4"/>
        <v>747.51945999999998</v>
      </c>
      <c r="AU21" s="156">
        <v>945</v>
      </c>
      <c r="AV21" s="1" t="s">
        <v>39</v>
      </c>
      <c r="AW21" s="158">
        <f t="shared" si="5"/>
        <v>140.283590617774</v>
      </c>
      <c r="AX21" s="1" t="s">
        <v>54</v>
      </c>
      <c r="AY21" s="1" t="str">
        <f t="shared" si="10"/>
        <v>Agreement Done</v>
      </c>
      <c r="AZ21" s="179"/>
      <c r="BA21" s="179"/>
      <c r="BB21" s="222" t="str">
        <f t="shared" si="11"/>
        <v>SendMessage</v>
      </c>
      <c r="BC21" s="1"/>
    </row>
    <row r="22" spans="1:56" s="4" customFormat="1" ht="15">
      <c r="A22" s="215" t="s">
        <v>22</v>
      </c>
      <c r="B22" s="1" t="s">
        <v>535</v>
      </c>
      <c r="C22" s="1" t="s">
        <v>1</v>
      </c>
      <c r="D22" s="155" t="s">
        <v>177</v>
      </c>
      <c r="E22" s="217">
        <v>1265</v>
      </c>
      <c r="F22" s="218">
        <f t="shared" si="0"/>
        <v>8766450</v>
      </c>
      <c r="G22" s="218"/>
      <c r="H22" s="218">
        <f>'0701'!$E$19</f>
        <v>876645</v>
      </c>
      <c r="I22" s="218">
        <f t="shared" si="1"/>
        <v>7889805</v>
      </c>
      <c r="J22" s="233"/>
      <c r="K22" s="159">
        <v>6600</v>
      </c>
      <c r="L22" s="218">
        <f t="shared" si="2"/>
        <v>10</v>
      </c>
      <c r="M22" s="218">
        <f t="shared" si="6"/>
        <v>90</v>
      </c>
      <c r="N22" s="218">
        <f t="shared" si="3"/>
        <v>3506580</v>
      </c>
      <c r="O22" s="218">
        <f t="shared" si="7"/>
        <v>2629935</v>
      </c>
      <c r="P22" s="33" t="s">
        <v>503</v>
      </c>
      <c r="Q22" s="1" t="s">
        <v>841</v>
      </c>
      <c r="R22" s="1" t="s">
        <v>484</v>
      </c>
      <c r="S22" s="169">
        <f>'0701'!G4</f>
        <v>389805</v>
      </c>
      <c r="T22" s="169">
        <f>'0701'!H4</f>
        <v>7500000</v>
      </c>
      <c r="U22" s="160">
        <v>46055</v>
      </c>
      <c r="V22" s="1" t="s">
        <v>594</v>
      </c>
      <c r="W22" s="160">
        <v>46072</v>
      </c>
      <c r="X22" s="161" t="s">
        <v>535</v>
      </c>
      <c r="Y22" s="161" t="s">
        <v>537</v>
      </c>
      <c r="Z22" s="161" t="s">
        <v>538</v>
      </c>
      <c r="AA22" s="161" t="s">
        <v>172</v>
      </c>
      <c r="AB22" s="161">
        <v>35</v>
      </c>
      <c r="AC22" s="161" t="s">
        <v>540</v>
      </c>
      <c r="AD22" s="223" t="s">
        <v>541</v>
      </c>
      <c r="AE22" s="161" t="s">
        <v>539</v>
      </c>
      <c r="AF22" s="161" t="s">
        <v>536</v>
      </c>
      <c r="AG22" s="162" t="s">
        <v>182</v>
      </c>
      <c r="AH22" s="162" t="str">
        <f t="shared" si="9"/>
        <v>Nil</v>
      </c>
      <c r="AI22" s="162" t="str">
        <f t="shared" si="20"/>
        <v>Nil</v>
      </c>
      <c r="AJ22" s="162" t="str">
        <f t="shared" si="21"/>
        <v>Nil</v>
      </c>
      <c r="AK22" s="162" t="str">
        <f t="shared" si="22"/>
        <v>Nil</v>
      </c>
      <c r="AL22" s="162" t="str">
        <f t="shared" si="23"/>
        <v>Nil</v>
      </c>
      <c r="AM22" s="162" t="str">
        <f t="shared" si="24"/>
        <v>Nil</v>
      </c>
      <c r="AN22" s="162" t="str">
        <f t="shared" si="25"/>
        <v>Nil</v>
      </c>
      <c r="AO22" s="162" t="str">
        <f t="shared" si="26"/>
        <v>Nil</v>
      </c>
      <c r="AP22" s="163"/>
      <c r="AQ22" s="178"/>
      <c r="AR22" s="163"/>
      <c r="AS22" s="170"/>
      <c r="AT22" s="158">
        <f t="shared" si="4"/>
        <v>626.23319000000004</v>
      </c>
      <c r="AU22" s="156">
        <v>770</v>
      </c>
      <c r="AV22" s="1" t="s">
        <v>40</v>
      </c>
      <c r="AW22" s="158">
        <f t="shared" si="5"/>
        <v>117.5223457824398</v>
      </c>
      <c r="AX22" s="1" t="s">
        <v>54</v>
      </c>
      <c r="AY22" s="1" t="str">
        <f t="shared" si="10"/>
        <v>Agreement Done</v>
      </c>
      <c r="AZ22" s="179"/>
      <c r="BA22" s="179"/>
      <c r="BB22" s="222" t="str">
        <f t="shared" si="11"/>
        <v>SendMessage</v>
      </c>
      <c r="BC22" s="1"/>
    </row>
    <row r="23" spans="1:56">
      <c r="A23" s="215" t="s">
        <v>23</v>
      </c>
      <c r="B23" s="1" t="s">
        <v>289</v>
      </c>
      <c r="C23" s="1" t="s">
        <v>1</v>
      </c>
      <c r="D23" s="155" t="s">
        <v>178</v>
      </c>
      <c r="E23" s="217">
        <v>1495</v>
      </c>
      <c r="F23" s="218">
        <f t="shared" si="0"/>
        <v>10203375</v>
      </c>
      <c r="G23" s="218"/>
      <c r="H23" s="218">
        <f>'0702'!$E$19</f>
        <v>4081350</v>
      </c>
      <c r="I23" s="218">
        <f t="shared" si="1"/>
        <v>6122025</v>
      </c>
      <c r="J23" s="233"/>
      <c r="K23" s="159">
        <v>6500</v>
      </c>
      <c r="L23" s="218">
        <f t="shared" si="2"/>
        <v>40</v>
      </c>
      <c r="M23" s="218">
        <f t="shared" si="6"/>
        <v>60</v>
      </c>
      <c r="N23" s="218">
        <f t="shared" si="3"/>
        <v>4081350</v>
      </c>
      <c r="O23" s="218">
        <f t="shared" si="7"/>
        <v>0</v>
      </c>
      <c r="P23" s="33" t="s">
        <v>670</v>
      </c>
      <c r="Q23" s="1" t="s">
        <v>841</v>
      </c>
      <c r="R23" s="1" t="s">
        <v>484</v>
      </c>
      <c r="S23" s="169">
        <f>'0702'!G4</f>
        <v>553375</v>
      </c>
      <c r="T23" s="169">
        <f>'0702'!H4</f>
        <v>5568650</v>
      </c>
      <c r="U23" s="160">
        <v>46037</v>
      </c>
      <c r="V23" s="1" t="s">
        <v>302</v>
      </c>
      <c r="W23" s="160">
        <v>46051</v>
      </c>
      <c r="X23" s="161" t="s">
        <v>294</v>
      </c>
      <c r="Y23" s="161" t="s">
        <v>509</v>
      </c>
      <c r="Z23" s="161" t="s">
        <v>510</v>
      </c>
      <c r="AA23" s="161" t="s">
        <v>172</v>
      </c>
      <c r="AB23" s="161">
        <v>30</v>
      </c>
      <c r="AC23" s="161" t="s">
        <v>477</v>
      </c>
      <c r="AD23" s="223" t="s">
        <v>295</v>
      </c>
      <c r="AE23" s="161" t="s">
        <v>512</v>
      </c>
      <c r="AF23" s="161" t="s">
        <v>511</v>
      </c>
      <c r="AG23" s="162" t="s">
        <v>297</v>
      </c>
      <c r="AH23" s="162" t="s">
        <v>516</v>
      </c>
      <c r="AI23" s="162" t="s">
        <v>513</v>
      </c>
      <c r="AJ23" s="162" t="s">
        <v>172</v>
      </c>
      <c r="AK23" s="162">
        <v>31</v>
      </c>
      <c r="AL23" s="162" t="s">
        <v>478</v>
      </c>
      <c r="AM23" s="224" t="s">
        <v>296</v>
      </c>
      <c r="AN23" s="162" t="s">
        <v>515</v>
      </c>
      <c r="AO23" s="162" t="s">
        <v>514</v>
      </c>
      <c r="AP23" s="163" t="s">
        <v>341</v>
      </c>
      <c r="AQ23" s="178">
        <v>46037</v>
      </c>
      <c r="AR23" s="163" t="s">
        <v>340</v>
      </c>
      <c r="AS23" s="170">
        <v>100000</v>
      </c>
      <c r="AT23" s="158">
        <f t="shared" si="4"/>
        <v>740.09376999999995</v>
      </c>
      <c r="AU23" s="156">
        <v>967</v>
      </c>
      <c r="AV23" s="1" t="s">
        <v>40</v>
      </c>
      <c r="AW23" s="158">
        <f t="shared" si="5"/>
        <v>138.89004501561067</v>
      </c>
      <c r="AX23" s="1" t="s">
        <v>54</v>
      </c>
      <c r="AY23" s="1" t="str">
        <f t="shared" si="10"/>
        <v>Agreement Done</v>
      </c>
      <c r="AZ23" s="179"/>
      <c r="BA23" s="179"/>
      <c r="BB23" s="222" t="str">
        <f t="shared" si="11"/>
        <v>SendMessage</v>
      </c>
      <c r="BC23" s="1" t="s">
        <v>315</v>
      </c>
      <c r="BD23" s="4"/>
    </row>
    <row r="24" spans="1:56" s="4" customFormat="1" ht="15" hidden="1">
      <c r="A24" s="215" t="s">
        <v>24</v>
      </c>
      <c r="B24" s="1"/>
      <c r="C24" s="1" t="s">
        <v>1</v>
      </c>
      <c r="D24" s="155" t="s">
        <v>178</v>
      </c>
      <c r="E24" s="156">
        <v>1630</v>
      </c>
      <c r="F24" s="218">
        <f t="shared" si="0"/>
        <v>0</v>
      </c>
      <c r="G24" s="218"/>
      <c r="H24" s="167"/>
      <c r="I24" s="167">
        <f t="shared" si="1"/>
        <v>0</v>
      </c>
      <c r="J24" s="233"/>
      <c r="K24" s="159"/>
      <c r="L24" s="167" t="e">
        <f t="shared" si="2"/>
        <v>#DIV/0!</v>
      </c>
      <c r="M24" s="167" t="e">
        <f t="shared" si="6"/>
        <v>#DIV/0!</v>
      </c>
      <c r="N24" s="167">
        <f t="shared" si="3"/>
        <v>0</v>
      </c>
      <c r="O24" s="167">
        <f t="shared" si="7"/>
        <v>0</v>
      </c>
      <c r="P24" s="33"/>
      <c r="Q24" s="1"/>
      <c r="R24" s="1"/>
      <c r="S24" s="169"/>
      <c r="T24" s="169"/>
      <c r="U24" s="160"/>
      <c r="V24" s="1"/>
      <c r="W24" s="1" t="str">
        <f t="shared" si="8"/>
        <v/>
      </c>
      <c r="X24" s="161" t="s">
        <v>182</v>
      </c>
      <c r="Y24" s="161" t="str">
        <f t="shared" si="12"/>
        <v>Nil</v>
      </c>
      <c r="Z24" s="161" t="str">
        <f t="shared" si="13"/>
        <v>Nil</v>
      </c>
      <c r="AA24" s="161" t="str">
        <f t="shared" si="14"/>
        <v>Nil</v>
      </c>
      <c r="AB24" s="161" t="str">
        <f t="shared" si="15"/>
        <v>Nil</v>
      </c>
      <c r="AC24" s="161" t="str">
        <f t="shared" si="16"/>
        <v>Nil</v>
      </c>
      <c r="AD24" s="161" t="str">
        <f t="shared" si="17"/>
        <v>Nil</v>
      </c>
      <c r="AE24" s="161" t="str">
        <f t="shared" si="18"/>
        <v>Nil</v>
      </c>
      <c r="AF24" s="161" t="str">
        <f t="shared" si="19"/>
        <v>Nil</v>
      </c>
      <c r="AG24" s="162" t="s">
        <v>182</v>
      </c>
      <c r="AH24" s="162" t="str">
        <f t="shared" si="9"/>
        <v>Nil</v>
      </c>
      <c r="AI24" s="162" t="str">
        <f t="shared" si="20"/>
        <v>Nil</v>
      </c>
      <c r="AJ24" s="162" t="str">
        <f t="shared" si="21"/>
        <v>Nil</v>
      </c>
      <c r="AK24" s="162" t="str">
        <f t="shared" si="22"/>
        <v>Nil</v>
      </c>
      <c r="AL24" s="162" t="str">
        <f t="shared" si="23"/>
        <v>Nil</v>
      </c>
      <c r="AM24" s="162" t="str">
        <f t="shared" si="24"/>
        <v>Nil</v>
      </c>
      <c r="AN24" s="162" t="str">
        <f t="shared" si="25"/>
        <v>Nil</v>
      </c>
      <c r="AO24" s="162" t="str">
        <f t="shared" si="26"/>
        <v>Nil</v>
      </c>
      <c r="AP24" s="163"/>
      <c r="AQ24" s="178"/>
      <c r="AR24" s="163"/>
      <c r="AS24" s="170"/>
      <c r="AT24" s="158">
        <f t="shared" si="4"/>
        <v>806.92498000000001</v>
      </c>
      <c r="AU24" s="156">
        <v>1074</v>
      </c>
      <c r="AV24" s="1" t="s">
        <v>40</v>
      </c>
      <c r="AW24" s="158">
        <f t="shared" si="5"/>
        <v>151.43195543508054</v>
      </c>
      <c r="AX24" s="1" t="s">
        <v>54</v>
      </c>
      <c r="AY24" s="1" t="str">
        <f t="shared" si="10"/>
        <v>Agreement Done</v>
      </c>
      <c r="AZ24" s="179"/>
      <c r="BA24" s="179"/>
      <c r="BB24" s="222" t="str">
        <f t="shared" si="11"/>
        <v>SendMessage</v>
      </c>
      <c r="BC24" s="1"/>
    </row>
    <row r="25" spans="1:56" s="4" customFormat="1" ht="15" hidden="1">
      <c r="A25" s="215" t="s">
        <v>25</v>
      </c>
      <c r="B25" s="1"/>
      <c r="C25" s="1" t="s">
        <v>1</v>
      </c>
      <c r="D25" s="155" t="s">
        <v>178</v>
      </c>
      <c r="E25" s="156">
        <v>1560</v>
      </c>
      <c r="F25" s="218">
        <f t="shared" si="0"/>
        <v>0</v>
      </c>
      <c r="G25" s="218"/>
      <c r="H25" s="167"/>
      <c r="I25" s="167">
        <f t="shared" si="1"/>
        <v>0</v>
      </c>
      <c r="J25" s="233"/>
      <c r="K25" s="159"/>
      <c r="L25" s="167" t="e">
        <f t="shared" si="2"/>
        <v>#DIV/0!</v>
      </c>
      <c r="M25" s="167" t="e">
        <f t="shared" si="6"/>
        <v>#DIV/0!</v>
      </c>
      <c r="N25" s="167">
        <f t="shared" si="3"/>
        <v>0</v>
      </c>
      <c r="O25" s="167">
        <f t="shared" si="7"/>
        <v>0</v>
      </c>
      <c r="P25" s="33"/>
      <c r="Q25" s="1"/>
      <c r="R25" s="1"/>
      <c r="S25" s="169"/>
      <c r="T25" s="169"/>
      <c r="U25" s="160"/>
      <c r="V25" s="1"/>
      <c r="W25" s="1" t="str">
        <f t="shared" si="8"/>
        <v/>
      </c>
      <c r="X25" s="161" t="s">
        <v>182</v>
      </c>
      <c r="Y25" s="161" t="str">
        <f t="shared" si="12"/>
        <v>Nil</v>
      </c>
      <c r="Z25" s="161" t="str">
        <f t="shared" si="13"/>
        <v>Nil</v>
      </c>
      <c r="AA25" s="161" t="str">
        <f t="shared" si="14"/>
        <v>Nil</v>
      </c>
      <c r="AB25" s="161" t="str">
        <f t="shared" si="15"/>
        <v>Nil</v>
      </c>
      <c r="AC25" s="161" t="str">
        <f t="shared" si="16"/>
        <v>Nil</v>
      </c>
      <c r="AD25" s="161" t="str">
        <f t="shared" si="17"/>
        <v>Nil</v>
      </c>
      <c r="AE25" s="161" t="str">
        <f t="shared" si="18"/>
        <v>Nil</v>
      </c>
      <c r="AF25" s="161" t="str">
        <f t="shared" si="19"/>
        <v>Nil</v>
      </c>
      <c r="AG25" s="162" t="s">
        <v>182</v>
      </c>
      <c r="AH25" s="162" t="str">
        <f t="shared" si="9"/>
        <v>Nil</v>
      </c>
      <c r="AI25" s="162" t="str">
        <f t="shared" si="20"/>
        <v>Nil</v>
      </c>
      <c r="AJ25" s="162" t="str">
        <f t="shared" si="21"/>
        <v>Nil</v>
      </c>
      <c r="AK25" s="162" t="str">
        <f t="shared" si="22"/>
        <v>Nil</v>
      </c>
      <c r="AL25" s="162" t="str">
        <f t="shared" si="23"/>
        <v>Nil</v>
      </c>
      <c r="AM25" s="162" t="str">
        <f t="shared" si="24"/>
        <v>Nil</v>
      </c>
      <c r="AN25" s="162" t="str">
        <f t="shared" si="25"/>
        <v>Nil</v>
      </c>
      <c r="AO25" s="162" t="str">
        <f t="shared" si="26"/>
        <v>Nil</v>
      </c>
      <c r="AP25" s="163"/>
      <c r="AQ25" s="178"/>
      <c r="AR25" s="163"/>
      <c r="AS25" s="170"/>
      <c r="AT25" s="158">
        <f t="shared" si="4"/>
        <v>772.27175999999997</v>
      </c>
      <c r="AU25" s="156">
        <v>984</v>
      </c>
      <c r="AV25" s="1" t="s">
        <v>40</v>
      </c>
      <c r="AW25" s="158">
        <f t="shared" si="5"/>
        <v>144.92874262498506</v>
      </c>
      <c r="AX25" s="1" t="s">
        <v>54</v>
      </c>
      <c r="AY25" s="1" t="str">
        <f t="shared" si="10"/>
        <v>Agreement Done</v>
      </c>
      <c r="AZ25" s="179"/>
      <c r="BA25" s="179"/>
      <c r="BB25" s="222" t="str">
        <f t="shared" si="11"/>
        <v>SendMessage</v>
      </c>
      <c r="BC25" s="1"/>
    </row>
    <row r="26" spans="1:56">
      <c r="A26" s="215" t="s">
        <v>26</v>
      </c>
      <c r="B26" s="1" t="s">
        <v>613</v>
      </c>
      <c r="C26" s="1" t="s">
        <v>1</v>
      </c>
      <c r="D26" s="155" t="s">
        <v>178</v>
      </c>
      <c r="E26" s="217">
        <v>1510</v>
      </c>
      <c r="F26" s="218">
        <f t="shared" si="0"/>
        <v>10543575</v>
      </c>
      <c r="G26" s="218"/>
      <c r="H26" s="218">
        <f>'0705'!$E$21</f>
        <v>3805200</v>
      </c>
      <c r="I26" s="218">
        <f t="shared" si="1"/>
        <v>6738375</v>
      </c>
      <c r="J26" s="233"/>
      <c r="K26" s="159">
        <v>6650</v>
      </c>
      <c r="L26" s="218">
        <f t="shared" si="2"/>
        <v>36.090225563909769</v>
      </c>
      <c r="M26" s="218">
        <f t="shared" si="6"/>
        <v>63.909774436090231</v>
      </c>
      <c r="N26" s="218">
        <f t="shared" si="3"/>
        <v>4217430</v>
      </c>
      <c r="O26" s="218">
        <f t="shared" si="7"/>
        <v>412230</v>
      </c>
      <c r="P26" s="33"/>
      <c r="Q26" s="1"/>
      <c r="R26" s="1" t="s">
        <v>484</v>
      </c>
      <c r="S26" s="169">
        <f>'0705'!G4</f>
        <v>963185</v>
      </c>
      <c r="T26" s="169">
        <f>'0705'!H7</f>
        <v>0</v>
      </c>
      <c r="U26" s="160">
        <v>46048</v>
      </c>
      <c r="V26" s="1" t="s">
        <v>482</v>
      </c>
      <c r="W26" s="160">
        <v>46083</v>
      </c>
      <c r="X26" s="161" t="s">
        <v>613</v>
      </c>
      <c r="Y26" s="161" t="s">
        <v>610</v>
      </c>
      <c r="Z26" s="161" t="s">
        <v>612</v>
      </c>
      <c r="AA26" s="161" t="s">
        <v>611</v>
      </c>
      <c r="AB26" s="161">
        <v>35</v>
      </c>
      <c r="AC26" s="161" t="s">
        <v>666</v>
      </c>
      <c r="AD26" s="223" t="s">
        <v>480</v>
      </c>
      <c r="AE26" s="161" t="s">
        <v>609</v>
      </c>
      <c r="AF26" s="161" t="s">
        <v>608</v>
      </c>
      <c r="AG26" s="162" t="s">
        <v>857</v>
      </c>
      <c r="AH26" s="162" t="s">
        <v>875</v>
      </c>
      <c r="AI26" s="162" t="s">
        <v>876</v>
      </c>
      <c r="AJ26" s="162" t="s">
        <v>172</v>
      </c>
      <c r="AK26" s="162">
        <v>34</v>
      </c>
      <c r="AL26" s="162" t="s">
        <v>172</v>
      </c>
      <c r="AM26" s="162" t="s">
        <v>172</v>
      </c>
      <c r="AN26" s="162" t="s">
        <v>172</v>
      </c>
      <c r="AO26" s="162" t="s">
        <v>874</v>
      </c>
      <c r="AP26" s="163"/>
      <c r="AQ26" s="178"/>
      <c r="AR26" s="163"/>
      <c r="AS26" s="170"/>
      <c r="AT26" s="158">
        <f t="shared" si="4"/>
        <v>747.51945999999998</v>
      </c>
      <c r="AU26" s="156">
        <v>945</v>
      </c>
      <c r="AV26" s="1" t="s">
        <v>40</v>
      </c>
      <c r="AW26" s="158">
        <f t="shared" si="5"/>
        <v>140.283590617774</v>
      </c>
      <c r="AX26" s="1" t="s">
        <v>54</v>
      </c>
      <c r="AY26" s="1" t="str">
        <f t="shared" si="10"/>
        <v>Agreement Done</v>
      </c>
      <c r="AZ26" s="179"/>
      <c r="BA26" s="179"/>
      <c r="BB26" s="222" t="str">
        <f t="shared" si="11"/>
        <v>SendMessage</v>
      </c>
      <c r="BC26" s="1"/>
      <c r="BD26" s="4"/>
    </row>
    <row r="27" spans="1:56" s="4" customFormat="1" ht="15">
      <c r="A27" s="215" t="s">
        <v>27</v>
      </c>
      <c r="B27" s="1" t="s">
        <v>273</v>
      </c>
      <c r="C27" s="1" t="s">
        <v>1</v>
      </c>
      <c r="D27" s="155" t="s">
        <v>177</v>
      </c>
      <c r="E27" s="217">
        <v>1265</v>
      </c>
      <c r="F27" s="218">
        <f t="shared" si="0"/>
        <v>8035912.5</v>
      </c>
      <c r="G27" s="218"/>
      <c r="H27" s="218">
        <f>'0801'!$E$19</f>
        <v>401796</v>
      </c>
      <c r="I27" s="218">
        <f t="shared" si="1"/>
        <v>7634116.5</v>
      </c>
      <c r="J27" s="233"/>
      <c r="K27" s="159">
        <v>6050</v>
      </c>
      <c r="L27" s="218">
        <f t="shared" si="2"/>
        <v>5.0000046665515585</v>
      </c>
      <c r="M27" s="218">
        <f t="shared" si="6"/>
        <v>94.999995333448439</v>
      </c>
      <c r="N27" s="218">
        <f t="shared" si="3"/>
        <v>3214365</v>
      </c>
      <c r="O27" s="218">
        <f t="shared" si="7"/>
        <v>2812569</v>
      </c>
      <c r="P27" s="33" t="s">
        <v>656</v>
      </c>
      <c r="Q27" s="1" t="s">
        <v>841</v>
      </c>
      <c r="R27" s="1" t="s">
        <v>484</v>
      </c>
      <c r="S27" s="169">
        <f>'0801'!G4</f>
        <v>2079117</v>
      </c>
      <c r="T27" s="169">
        <f>'0801'!H4</f>
        <v>5555000</v>
      </c>
      <c r="U27" s="160">
        <v>46036</v>
      </c>
      <c r="V27" s="1" t="s">
        <v>820</v>
      </c>
      <c r="W27" s="160">
        <v>46067</v>
      </c>
      <c r="X27" s="161" t="s">
        <v>273</v>
      </c>
      <c r="Y27" s="161" t="s">
        <v>614</v>
      </c>
      <c r="Z27" s="161" t="s">
        <v>615</v>
      </c>
      <c r="AA27" s="161" t="s">
        <v>172</v>
      </c>
      <c r="AB27" s="161">
        <v>37</v>
      </c>
      <c r="AC27" s="161" t="s">
        <v>275</v>
      </c>
      <c r="AD27" s="223" t="s">
        <v>281</v>
      </c>
      <c r="AE27" s="161" t="s">
        <v>617</v>
      </c>
      <c r="AF27" s="161" t="s">
        <v>616</v>
      </c>
      <c r="AG27" s="162" t="s">
        <v>182</v>
      </c>
      <c r="AH27" s="162" t="str">
        <f t="shared" si="9"/>
        <v>Nil</v>
      </c>
      <c r="AI27" s="162" t="str">
        <f t="shared" si="20"/>
        <v>Nil</v>
      </c>
      <c r="AJ27" s="162" t="str">
        <f t="shared" si="21"/>
        <v>Nil</v>
      </c>
      <c r="AK27" s="162" t="str">
        <f t="shared" si="22"/>
        <v>Nil</v>
      </c>
      <c r="AL27" s="162" t="str">
        <f t="shared" si="23"/>
        <v>Nil</v>
      </c>
      <c r="AM27" s="162" t="str">
        <f t="shared" si="24"/>
        <v>Nil</v>
      </c>
      <c r="AN27" s="162" t="str">
        <f t="shared" si="25"/>
        <v>Nil</v>
      </c>
      <c r="AO27" s="162" t="str">
        <f t="shared" si="26"/>
        <v>Nil</v>
      </c>
      <c r="AP27" s="163"/>
      <c r="AQ27" s="178"/>
      <c r="AR27" s="163"/>
      <c r="AS27" s="170"/>
      <c r="AT27" s="158">
        <f t="shared" si="4"/>
        <v>626.23319000000004</v>
      </c>
      <c r="AU27" s="156">
        <v>770</v>
      </c>
      <c r="AV27" s="1" t="s">
        <v>41</v>
      </c>
      <c r="AW27" s="158">
        <f t="shared" si="5"/>
        <v>117.5223457824398</v>
      </c>
      <c r="AX27" s="1" t="s">
        <v>54</v>
      </c>
      <c r="AY27" s="1" t="str">
        <f t="shared" si="10"/>
        <v>Agreement Done</v>
      </c>
      <c r="AZ27" s="179"/>
      <c r="BA27" s="179"/>
      <c r="BB27" s="222" t="str">
        <f t="shared" si="11"/>
        <v>SendMessage</v>
      </c>
      <c r="BC27" s="1" t="s">
        <v>315</v>
      </c>
    </row>
    <row r="28" spans="1:56">
      <c r="A28" s="215" t="s">
        <v>28</v>
      </c>
      <c r="B28" s="1" t="s">
        <v>485</v>
      </c>
      <c r="C28" s="1" t="s">
        <v>1</v>
      </c>
      <c r="D28" s="155" t="s">
        <v>178</v>
      </c>
      <c r="E28" s="217">
        <v>1495</v>
      </c>
      <c r="F28" s="218">
        <f t="shared" si="0"/>
        <v>9983610</v>
      </c>
      <c r="G28" s="218"/>
      <c r="H28" s="218">
        <f>'0802'!$E$19</f>
        <v>3993444</v>
      </c>
      <c r="I28" s="218">
        <f t="shared" si="1"/>
        <v>5990166</v>
      </c>
      <c r="J28" s="233"/>
      <c r="K28" s="159">
        <v>6360</v>
      </c>
      <c r="L28" s="218">
        <f t="shared" si="2"/>
        <v>40</v>
      </c>
      <c r="M28" s="218">
        <f t="shared" si="6"/>
        <v>60</v>
      </c>
      <c r="N28" s="218">
        <f t="shared" si="3"/>
        <v>3993444</v>
      </c>
      <c r="O28" s="218">
        <f t="shared" si="7"/>
        <v>0</v>
      </c>
      <c r="P28" s="33" t="s">
        <v>656</v>
      </c>
      <c r="Q28" s="1" t="s">
        <v>841</v>
      </c>
      <c r="R28" s="1" t="s">
        <v>484</v>
      </c>
      <c r="S28" s="169">
        <f>'0802'!G4</f>
        <v>-2509834</v>
      </c>
      <c r="T28" s="169">
        <f>'0802'!H4</f>
        <v>8500000</v>
      </c>
      <c r="U28" s="160">
        <v>46041</v>
      </c>
      <c r="V28" s="1" t="s">
        <v>461</v>
      </c>
      <c r="W28" s="160">
        <v>46046</v>
      </c>
      <c r="X28" s="161" t="s">
        <v>486</v>
      </c>
      <c r="Y28" s="161" t="s">
        <v>618</v>
      </c>
      <c r="Z28" s="161" t="s">
        <v>619</v>
      </c>
      <c r="AA28" s="161" t="s">
        <v>172</v>
      </c>
      <c r="AB28" s="161">
        <v>43</v>
      </c>
      <c r="AC28" s="161" t="s">
        <v>343</v>
      </c>
      <c r="AD28" s="223" t="s">
        <v>172</v>
      </c>
      <c r="AE28" s="161" t="s">
        <v>621</v>
      </c>
      <c r="AF28" s="161" t="s">
        <v>620</v>
      </c>
      <c r="AG28" s="162" t="s">
        <v>342</v>
      </c>
      <c r="AH28" s="162" t="s">
        <v>622</v>
      </c>
      <c r="AI28" s="162" t="s">
        <v>619</v>
      </c>
      <c r="AJ28" s="162" t="s">
        <v>172</v>
      </c>
      <c r="AK28" s="162">
        <v>49</v>
      </c>
      <c r="AL28" s="162" t="s">
        <v>329</v>
      </c>
      <c r="AM28" s="224" t="s">
        <v>344</v>
      </c>
      <c r="AN28" s="162" t="s">
        <v>345</v>
      </c>
      <c r="AO28" s="162" t="s">
        <v>346</v>
      </c>
      <c r="AP28" s="163" t="s">
        <v>623</v>
      </c>
      <c r="AQ28" s="178">
        <v>46041</v>
      </c>
      <c r="AR28" s="163" t="s">
        <v>624</v>
      </c>
      <c r="AS28" s="170">
        <v>70000</v>
      </c>
      <c r="AT28" s="158">
        <f t="shared" si="4"/>
        <v>740.09376999999995</v>
      </c>
      <c r="AU28" s="156">
        <v>967</v>
      </c>
      <c r="AV28" s="1" t="s">
        <v>41</v>
      </c>
      <c r="AW28" s="158">
        <f t="shared" si="5"/>
        <v>138.89004501561067</v>
      </c>
      <c r="AX28" s="1" t="s">
        <v>54</v>
      </c>
      <c r="AY28" s="1" t="str">
        <f t="shared" si="10"/>
        <v>Agreement Done</v>
      </c>
      <c r="AZ28" s="179"/>
      <c r="BA28" s="179"/>
      <c r="BB28" s="222" t="str">
        <f t="shared" si="11"/>
        <v>SendMessage</v>
      </c>
      <c r="BC28" s="1"/>
      <c r="BD28" s="4"/>
    </row>
    <row r="29" spans="1:56" s="4" customFormat="1" ht="15" hidden="1">
      <c r="A29" s="215" t="s">
        <v>29</v>
      </c>
      <c r="B29" s="1"/>
      <c r="C29" s="1" t="s">
        <v>1</v>
      </c>
      <c r="D29" s="155" t="s">
        <v>178</v>
      </c>
      <c r="E29" s="156">
        <v>1630</v>
      </c>
      <c r="F29" s="218">
        <f t="shared" si="0"/>
        <v>0</v>
      </c>
      <c r="G29" s="218"/>
      <c r="H29" s="167"/>
      <c r="I29" s="167">
        <f t="shared" si="1"/>
        <v>0</v>
      </c>
      <c r="J29" s="233"/>
      <c r="K29" s="159"/>
      <c r="L29" s="167" t="e">
        <f t="shared" si="2"/>
        <v>#DIV/0!</v>
      </c>
      <c r="M29" s="167" t="e">
        <f t="shared" si="6"/>
        <v>#DIV/0!</v>
      </c>
      <c r="N29" s="167">
        <f t="shared" si="3"/>
        <v>0</v>
      </c>
      <c r="O29" s="167">
        <f t="shared" si="7"/>
        <v>0</v>
      </c>
      <c r="P29" s="33"/>
      <c r="Q29" s="1"/>
      <c r="R29" s="1"/>
      <c r="S29" s="169"/>
      <c r="T29" s="169"/>
      <c r="U29" s="160"/>
      <c r="V29" s="1"/>
      <c r="W29" s="1" t="str">
        <f t="shared" si="8"/>
        <v/>
      </c>
      <c r="X29" s="161" t="s">
        <v>182</v>
      </c>
      <c r="Y29" s="161" t="str">
        <f t="shared" si="12"/>
        <v>Nil</v>
      </c>
      <c r="Z29" s="161" t="str">
        <f t="shared" si="13"/>
        <v>Nil</v>
      </c>
      <c r="AA29" s="161" t="str">
        <f t="shared" si="14"/>
        <v>Nil</v>
      </c>
      <c r="AB29" s="161" t="str">
        <f t="shared" si="15"/>
        <v>Nil</v>
      </c>
      <c r="AC29" s="161" t="str">
        <f t="shared" si="16"/>
        <v>Nil</v>
      </c>
      <c r="AD29" s="161" t="str">
        <f t="shared" si="17"/>
        <v>Nil</v>
      </c>
      <c r="AE29" s="161" t="str">
        <f t="shared" si="18"/>
        <v>Nil</v>
      </c>
      <c r="AF29" s="161" t="str">
        <f t="shared" si="19"/>
        <v>Nil</v>
      </c>
      <c r="AG29" s="162" t="s">
        <v>182</v>
      </c>
      <c r="AH29" s="162" t="str">
        <f t="shared" si="9"/>
        <v>Nil</v>
      </c>
      <c r="AI29" s="162" t="str">
        <f t="shared" si="20"/>
        <v>Nil</v>
      </c>
      <c r="AJ29" s="162" t="str">
        <f t="shared" si="21"/>
        <v>Nil</v>
      </c>
      <c r="AK29" s="162" t="str">
        <f t="shared" si="22"/>
        <v>Nil</v>
      </c>
      <c r="AL29" s="162" t="str">
        <f t="shared" si="23"/>
        <v>Nil</v>
      </c>
      <c r="AM29" s="162" t="str">
        <f t="shared" si="24"/>
        <v>Nil</v>
      </c>
      <c r="AN29" s="162" t="str">
        <f t="shared" si="25"/>
        <v>Nil</v>
      </c>
      <c r="AO29" s="162" t="str">
        <f t="shared" si="26"/>
        <v>Nil</v>
      </c>
      <c r="AP29" s="163"/>
      <c r="AQ29" s="178"/>
      <c r="AR29" s="163"/>
      <c r="AS29" s="170"/>
      <c r="AT29" s="158">
        <f t="shared" si="4"/>
        <v>806.92498000000001</v>
      </c>
      <c r="AU29" s="156">
        <v>1074</v>
      </c>
      <c r="AV29" s="1" t="s">
        <v>41</v>
      </c>
      <c r="AW29" s="158">
        <f t="shared" si="5"/>
        <v>151.43195543508054</v>
      </c>
      <c r="AX29" s="1" t="s">
        <v>54</v>
      </c>
      <c r="AY29" s="1" t="str">
        <f t="shared" si="10"/>
        <v>Agreement Done</v>
      </c>
      <c r="AZ29" s="179"/>
      <c r="BA29" s="179"/>
      <c r="BB29" s="222" t="str">
        <f t="shared" si="11"/>
        <v>SendMessage</v>
      </c>
      <c r="BC29" s="1"/>
    </row>
    <row r="30" spans="1:56" s="4" customFormat="1" ht="15" hidden="1">
      <c r="A30" s="215" t="s">
        <v>30</v>
      </c>
      <c r="B30" s="1"/>
      <c r="C30" s="1" t="s">
        <v>1</v>
      </c>
      <c r="D30" s="155" t="s">
        <v>178</v>
      </c>
      <c r="E30" s="156">
        <v>1560</v>
      </c>
      <c r="F30" s="218">
        <f t="shared" si="0"/>
        <v>0</v>
      </c>
      <c r="G30" s="218"/>
      <c r="H30" s="167"/>
      <c r="I30" s="167">
        <f t="shared" si="1"/>
        <v>0</v>
      </c>
      <c r="J30" s="233"/>
      <c r="K30" s="159"/>
      <c r="L30" s="167" t="e">
        <f t="shared" si="2"/>
        <v>#DIV/0!</v>
      </c>
      <c r="M30" s="167" t="e">
        <f t="shared" si="6"/>
        <v>#DIV/0!</v>
      </c>
      <c r="N30" s="167">
        <f t="shared" si="3"/>
        <v>0</v>
      </c>
      <c r="O30" s="167">
        <f t="shared" si="7"/>
        <v>0</v>
      </c>
      <c r="P30" s="33"/>
      <c r="Q30" s="1"/>
      <c r="R30" s="1"/>
      <c r="S30" s="169"/>
      <c r="T30" s="169"/>
      <c r="U30" s="160"/>
      <c r="V30" s="1"/>
      <c r="W30" s="1" t="str">
        <f t="shared" si="8"/>
        <v/>
      </c>
      <c r="X30" s="161" t="s">
        <v>182</v>
      </c>
      <c r="Y30" s="161" t="str">
        <f t="shared" si="12"/>
        <v>Nil</v>
      </c>
      <c r="Z30" s="161" t="str">
        <f t="shared" si="13"/>
        <v>Nil</v>
      </c>
      <c r="AA30" s="161" t="str">
        <f t="shared" si="14"/>
        <v>Nil</v>
      </c>
      <c r="AB30" s="161" t="str">
        <f t="shared" si="15"/>
        <v>Nil</v>
      </c>
      <c r="AC30" s="161" t="str">
        <f t="shared" si="16"/>
        <v>Nil</v>
      </c>
      <c r="AD30" s="161" t="str">
        <f t="shared" si="17"/>
        <v>Nil</v>
      </c>
      <c r="AE30" s="161" t="str">
        <f t="shared" si="18"/>
        <v>Nil</v>
      </c>
      <c r="AF30" s="161" t="str">
        <f t="shared" si="19"/>
        <v>Nil</v>
      </c>
      <c r="AG30" s="162" t="s">
        <v>182</v>
      </c>
      <c r="AH30" s="162" t="str">
        <f t="shared" si="9"/>
        <v>Nil</v>
      </c>
      <c r="AI30" s="162" t="str">
        <f t="shared" si="20"/>
        <v>Nil</v>
      </c>
      <c r="AJ30" s="162" t="str">
        <f t="shared" si="21"/>
        <v>Nil</v>
      </c>
      <c r="AK30" s="162" t="str">
        <f t="shared" si="22"/>
        <v>Nil</v>
      </c>
      <c r="AL30" s="162" t="str">
        <f t="shared" si="23"/>
        <v>Nil</v>
      </c>
      <c r="AM30" s="162" t="str">
        <f t="shared" si="24"/>
        <v>Nil</v>
      </c>
      <c r="AN30" s="162" t="str">
        <f t="shared" si="25"/>
        <v>Nil</v>
      </c>
      <c r="AO30" s="162" t="str">
        <f t="shared" si="26"/>
        <v>Nil</v>
      </c>
      <c r="AP30" s="163"/>
      <c r="AQ30" s="178"/>
      <c r="AR30" s="163"/>
      <c r="AS30" s="170"/>
      <c r="AT30" s="158">
        <f t="shared" si="4"/>
        <v>772.27175999999997</v>
      </c>
      <c r="AU30" s="156">
        <v>984</v>
      </c>
      <c r="AV30" s="1" t="s">
        <v>41</v>
      </c>
      <c r="AW30" s="158">
        <f t="shared" si="5"/>
        <v>144.92874262498506</v>
      </c>
      <c r="AX30" s="1" t="s">
        <v>54</v>
      </c>
      <c r="AY30" s="1" t="str">
        <f t="shared" si="10"/>
        <v>Agreement Done</v>
      </c>
      <c r="AZ30" s="179"/>
      <c r="BA30" s="179"/>
      <c r="BB30" s="222" t="str">
        <f t="shared" si="11"/>
        <v>SendMessage</v>
      </c>
      <c r="BC30" s="1"/>
    </row>
    <row r="31" spans="1:56" s="4" customFormat="1" ht="15" hidden="1">
      <c r="A31" s="215" t="s">
        <v>31</v>
      </c>
      <c r="B31" s="1"/>
      <c r="C31" s="1" t="s">
        <v>1</v>
      </c>
      <c r="D31" s="155" t="s">
        <v>178</v>
      </c>
      <c r="E31" s="156">
        <v>1510</v>
      </c>
      <c r="F31" s="218">
        <f t="shared" si="0"/>
        <v>0</v>
      </c>
      <c r="G31" s="218"/>
      <c r="H31" s="167"/>
      <c r="I31" s="167">
        <f t="shared" si="1"/>
        <v>0</v>
      </c>
      <c r="J31" s="233"/>
      <c r="K31" s="159"/>
      <c r="L31" s="167" t="e">
        <f t="shared" si="2"/>
        <v>#DIV/0!</v>
      </c>
      <c r="M31" s="167" t="e">
        <f t="shared" si="6"/>
        <v>#DIV/0!</v>
      </c>
      <c r="N31" s="167">
        <f t="shared" si="3"/>
        <v>0</v>
      </c>
      <c r="O31" s="167">
        <f t="shared" si="7"/>
        <v>0</v>
      </c>
      <c r="P31" s="33"/>
      <c r="Q31" s="1"/>
      <c r="R31" s="1"/>
      <c r="S31" s="169"/>
      <c r="T31" s="169"/>
      <c r="U31" s="160"/>
      <c r="V31" s="1"/>
      <c r="W31" s="1" t="str">
        <f t="shared" si="8"/>
        <v/>
      </c>
      <c r="X31" s="161" t="s">
        <v>182</v>
      </c>
      <c r="Y31" s="161" t="str">
        <f t="shared" si="12"/>
        <v>Nil</v>
      </c>
      <c r="Z31" s="161" t="str">
        <f t="shared" si="13"/>
        <v>Nil</v>
      </c>
      <c r="AA31" s="161" t="str">
        <f t="shared" si="14"/>
        <v>Nil</v>
      </c>
      <c r="AB31" s="161" t="str">
        <f t="shared" si="15"/>
        <v>Nil</v>
      </c>
      <c r="AC31" s="161" t="str">
        <f t="shared" si="16"/>
        <v>Nil</v>
      </c>
      <c r="AD31" s="161" t="str">
        <f t="shared" si="17"/>
        <v>Nil</v>
      </c>
      <c r="AE31" s="161" t="str">
        <f t="shared" si="18"/>
        <v>Nil</v>
      </c>
      <c r="AF31" s="161" t="str">
        <f t="shared" si="19"/>
        <v>Nil</v>
      </c>
      <c r="AG31" s="162" t="s">
        <v>182</v>
      </c>
      <c r="AH31" s="162" t="str">
        <f t="shared" si="9"/>
        <v>Nil</v>
      </c>
      <c r="AI31" s="162" t="str">
        <f t="shared" si="20"/>
        <v>Nil</v>
      </c>
      <c r="AJ31" s="162" t="str">
        <f t="shared" si="21"/>
        <v>Nil</v>
      </c>
      <c r="AK31" s="162" t="str">
        <f t="shared" si="22"/>
        <v>Nil</v>
      </c>
      <c r="AL31" s="162" t="str">
        <f t="shared" si="23"/>
        <v>Nil</v>
      </c>
      <c r="AM31" s="162" t="str">
        <f t="shared" si="24"/>
        <v>Nil</v>
      </c>
      <c r="AN31" s="162" t="str">
        <f t="shared" si="25"/>
        <v>Nil</v>
      </c>
      <c r="AO31" s="162" t="str">
        <f t="shared" si="26"/>
        <v>Nil</v>
      </c>
      <c r="AP31" s="163"/>
      <c r="AQ31" s="178"/>
      <c r="AR31" s="163"/>
      <c r="AS31" s="170"/>
      <c r="AT31" s="158">
        <f t="shared" si="4"/>
        <v>747.51945999999998</v>
      </c>
      <c r="AU31" s="156">
        <v>945</v>
      </c>
      <c r="AV31" s="1" t="s">
        <v>41</v>
      </c>
      <c r="AW31" s="158">
        <f t="shared" si="5"/>
        <v>140.283590617774</v>
      </c>
      <c r="AX31" s="1" t="s">
        <v>54</v>
      </c>
      <c r="AY31" s="1" t="str">
        <f t="shared" si="10"/>
        <v>Agreement Done</v>
      </c>
      <c r="AZ31" s="179"/>
      <c r="BA31" s="179"/>
      <c r="BB31" s="222" t="str">
        <f t="shared" si="11"/>
        <v>SendMessage</v>
      </c>
      <c r="BC31" s="1"/>
    </row>
    <row r="32" spans="1:56">
      <c r="A32" s="215">
        <v>1101</v>
      </c>
      <c r="B32" s="1" t="s">
        <v>287</v>
      </c>
      <c r="C32" s="1" t="s">
        <v>1</v>
      </c>
      <c r="D32" s="155" t="s">
        <v>177</v>
      </c>
      <c r="E32" s="217">
        <v>1265</v>
      </c>
      <c r="F32" s="218">
        <f t="shared" si="0"/>
        <v>8766450</v>
      </c>
      <c r="G32" s="218"/>
      <c r="H32" s="218">
        <f>'1101'!$E$20</f>
        <v>3339600</v>
      </c>
      <c r="I32" s="218">
        <f t="shared" si="1"/>
        <v>5426850</v>
      </c>
      <c r="J32" s="233"/>
      <c r="K32" s="159">
        <v>6600</v>
      </c>
      <c r="L32" s="218">
        <f t="shared" si="2"/>
        <v>38.095238095238095</v>
      </c>
      <c r="M32" s="218">
        <f t="shared" si="6"/>
        <v>61.904761904761905</v>
      </c>
      <c r="N32" s="218">
        <f t="shared" si="3"/>
        <v>3506580</v>
      </c>
      <c r="O32" s="218">
        <f t="shared" si="7"/>
        <v>166980</v>
      </c>
      <c r="P32" s="33" t="s">
        <v>503</v>
      </c>
      <c r="Q32" s="1" t="s">
        <v>841</v>
      </c>
      <c r="R32" s="1" t="s">
        <v>578</v>
      </c>
      <c r="S32" s="169">
        <f>'1101'!G4</f>
        <v>831550</v>
      </c>
      <c r="T32" s="169">
        <f>'1101'!H4</f>
        <v>4595300</v>
      </c>
      <c r="U32" s="160">
        <v>46037</v>
      </c>
      <c r="V32" s="1" t="s">
        <v>301</v>
      </c>
      <c r="W32" s="160">
        <v>46059</v>
      </c>
      <c r="X32" s="161" t="s">
        <v>287</v>
      </c>
      <c r="Y32" s="161" t="s">
        <v>518</v>
      </c>
      <c r="Z32" s="161" t="s">
        <v>519</v>
      </c>
      <c r="AA32" s="161" t="s">
        <v>172</v>
      </c>
      <c r="AB32" s="161">
        <v>32</v>
      </c>
      <c r="AC32" s="161" t="s">
        <v>311</v>
      </c>
      <c r="AD32" s="223" t="s">
        <v>331</v>
      </c>
      <c r="AE32" s="161" t="s">
        <v>586</v>
      </c>
      <c r="AF32" s="161" t="s">
        <v>517</v>
      </c>
      <c r="AG32" s="162" t="s">
        <v>182</v>
      </c>
      <c r="AH32" s="162" t="str">
        <f t="shared" si="9"/>
        <v>Nil</v>
      </c>
      <c r="AI32" s="162" t="str">
        <f t="shared" si="20"/>
        <v>Nil</v>
      </c>
      <c r="AJ32" s="162" t="str">
        <f t="shared" si="21"/>
        <v>Nil</v>
      </c>
      <c r="AK32" s="162" t="str">
        <f t="shared" si="22"/>
        <v>Nil</v>
      </c>
      <c r="AL32" s="162" t="str">
        <f t="shared" si="23"/>
        <v>Nil</v>
      </c>
      <c r="AM32" s="162" t="str">
        <f t="shared" si="24"/>
        <v>Nil</v>
      </c>
      <c r="AN32" s="162" t="str">
        <f t="shared" si="25"/>
        <v>Nil</v>
      </c>
      <c r="AO32" s="162" t="str">
        <f t="shared" si="26"/>
        <v>Nil</v>
      </c>
      <c r="AP32" s="163"/>
      <c r="AQ32" s="178"/>
      <c r="AR32" s="163"/>
      <c r="AS32" s="170"/>
      <c r="AT32" s="158">
        <f t="shared" si="4"/>
        <v>626.23319000000004</v>
      </c>
      <c r="AU32" s="156">
        <v>770</v>
      </c>
      <c r="AV32" s="1" t="s">
        <v>42</v>
      </c>
      <c r="AW32" s="158">
        <f t="shared" si="5"/>
        <v>117.5223457824398</v>
      </c>
      <c r="AX32" s="1" t="s">
        <v>54</v>
      </c>
      <c r="AY32" s="1" t="str">
        <f t="shared" si="10"/>
        <v>Agreement Done</v>
      </c>
      <c r="AZ32" s="179"/>
      <c r="BA32" s="179"/>
      <c r="BB32" s="222" t="str">
        <f t="shared" si="11"/>
        <v>SendMessage</v>
      </c>
      <c r="BC32" s="1" t="s">
        <v>316</v>
      </c>
      <c r="BD32" s="4"/>
    </row>
    <row r="33" spans="1:56" s="4" customFormat="1" ht="15">
      <c r="A33" s="215">
        <v>1102</v>
      </c>
      <c r="B33" s="1" t="s">
        <v>881</v>
      </c>
      <c r="C33" s="1" t="s">
        <v>1</v>
      </c>
      <c r="D33" s="155" t="s">
        <v>178</v>
      </c>
      <c r="E33" s="156">
        <v>1495</v>
      </c>
      <c r="F33" s="218">
        <f t="shared" si="0"/>
        <v>10124887.5</v>
      </c>
      <c r="G33" s="218"/>
      <c r="H33" s="167">
        <f>'1102'!$E$19</f>
        <v>1012588</v>
      </c>
      <c r="I33" s="167">
        <f t="shared" si="1"/>
        <v>9112299.5</v>
      </c>
      <c r="J33" s="233"/>
      <c r="K33" s="159">
        <v>6450</v>
      </c>
      <c r="L33" s="167">
        <f t="shared" si="2"/>
        <v>10.000980257805333</v>
      </c>
      <c r="M33" s="167">
        <f t="shared" si="6"/>
        <v>89.999019742194662</v>
      </c>
      <c r="N33" s="167">
        <f t="shared" si="3"/>
        <v>4049955</v>
      </c>
      <c r="O33" s="167">
        <f t="shared" si="7"/>
        <v>3037367</v>
      </c>
      <c r="P33" s="33" t="s">
        <v>503</v>
      </c>
      <c r="Q33" s="1"/>
      <c r="R33" s="1"/>
      <c r="S33" s="169">
        <f>'1102'!G4</f>
        <v>9112300</v>
      </c>
      <c r="T33" s="169">
        <f>'1102'!H4</f>
        <v>0</v>
      </c>
      <c r="U33" s="160">
        <v>46082</v>
      </c>
      <c r="V33" s="1"/>
      <c r="W33" s="1" t="str">
        <f t="shared" si="8"/>
        <v/>
      </c>
      <c r="X33" s="161" t="s">
        <v>881</v>
      </c>
      <c r="Y33" s="161" t="s">
        <v>936</v>
      </c>
      <c r="Z33" s="161" t="s">
        <v>937</v>
      </c>
      <c r="AA33" s="161" t="s">
        <v>938</v>
      </c>
      <c r="AB33" s="161">
        <v>33</v>
      </c>
      <c r="AC33" s="161" t="s">
        <v>941</v>
      </c>
      <c r="AD33" s="223" t="s">
        <v>880</v>
      </c>
      <c r="AE33" s="161" t="s">
        <v>940</v>
      </c>
      <c r="AF33" s="161" t="s">
        <v>939</v>
      </c>
      <c r="AG33" s="162" t="s">
        <v>182</v>
      </c>
      <c r="AH33" s="162" t="str">
        <f t="shared" si="9"/>
        <v>Nil</v>
      </c>
      <c r="AI33" s="162" t="str">
        <f t="shared" si="20"/>
        <v>Nil</v>
      </c>
      <c r="AJ33" s="162" t="str">
        <f t="shared" si="21"/>
        <v>Nil</v>
      </c>
      <c r="AK33" s="162" t="str">
        <f t="shared" si="22"/>
        <v>Nil</v>
      </c>
      <c r="AL33" s="162" t="str">
        <f t="shared" si="23"/>
        <v>Nil</v>
      </c>
      <c r="AM33" s="162" t="str">
        <f t="shared" si="24"/>
        <v>Nil</v>
      </c>
      <c r="AN33" s="162" t="str">
        <f t="shared" si="25"/>
        <v>Nil</v>
      </c>
      <c r="AO33" s="162" t="str">
        <f t="shared" si="26"/>
        <v>Nil</v>
      </c>
      <c r="AP33" s="163"/>
      <c r="AQ33" s="178"/>
      <c r="AR33" s="163"/>
      <c r="AS33" s="170"/>
      <c r="AT33" s="158">
        <f t="shared" si="4"/>
        <v>740.09376999999995</v>
      </c>
      <c r="AU33" s="156">
        <v>967</v>
      </c>
      <c r="AV33" s="1" t="s">
        <v>42</v>
      </c>
      <c r="AW33" s="158">
        <f t="shared" si="5"/>
        <v>138.89004501561067</v>
      </c>
      <c r="AX33" s="1" t="s">
        <v>54</v>
      </c>
      <c r="AY33" s="1" t="str">
        <f t="shared" si="10"/>
        <v>Agreement Done</v>
      </c>
      <c r="AZ33" s="179"/>
      <c r="BA33" s="179"/>
      <c r="BB33" s="222" t="str">
        <f t="shared" si="11"/>
        <v>SendMessage</v>
      </c>
      <c r="BC33" s="1"/>
    </row>
    <row r="34" spans="1:56" s="4" customFormat="1" ht="15" hidden="1">
      <c r="A34" s="157">
        <v>1103</v>
      </c>
      <c r="B34" s="1"/>
      <c r="C34" s="1" t="s">
        <v>1</v>
      </c>
      <c r="D34" s="155" t="s">
        <v>178</v>
      </c>
      <c r="E34" s="156">
        <v>1630</v>
      </c>
      <c r="F34" s="218">
        <f t="shared" si="0"/>
        <v>0</v>
      </c>
      <c r="G34" s="218"/>
      <c r="H34" s="167"/>
      <c r="I34" s="167">
        <f t="shared" ref="I34:I65" si="34">F34-H34</f>
        <v>0</v>
      </c>
      <c r="J34" s="233"/>
      <c r="K34" s="159"/>
      <c r="L34" s="167" t="e">
        <f t="shared" ref="L34:L65" si="35">(H34/F34)*100</f>
        <v>#DIV/0!</v>
      </c>
      <c r="M34" s="167" t="e">
        <f t="shared" si="6"/>
        <v>#DIV/0!</v>
      </c>
      <c r="N34" s="167">
        <f t="shared" ref="N34:N65" si="36">F34*$N$1</f>
        <v>0</v>
      </c>
      <c r="O34" s="167">
        <f t="shared" si="7"/>
        <v>0</v>
      </c>
      <c r="P34" s="33"/>
      <c r="Q34" s="1"/>
      <c r="R34" s="1"/>
      <c r="S34" s="169"/>
      <c r="T34" s="169"/>
      <c r="U34" s="160"/>
      <c r="V34" s="1"/>
      <c r="W34" s="1" t="str">
        <f t="shared" si="8"/>
        <v/>
      </c>
      <c r="X34" s="161" t="s">
        <v>182</v>
      </c>
      <c r="Y34" s="161" t="str">
        <f t="shared" si="12"/>
        <v>Nil</v>
      </c>
      <c r="Z34" s="161" t="str">
        <f t="shared" si="13"/>
        <v>Nil</v>
      </c>
      <c r="AA34" s="161" t="str">
        <f t="shared" si="14"/>
        <v>Nil</v>
      </c>
      <c r="AB34" s="161" t="str">
        <f t="shared" si="15"/>
        <v>Nil</v>
      </c>
      <c r="AC34" s="161" t="str">
        <f t="shared" si="16"/>
        <v>Nil</v>
      </c>
      <c r="AD34" s="161" t="str">
        <f t="shared" si="17"/>
        <v>Nil</v>
      </c>
      <c r="AE34" s="161" t="str">
        <f t="shared" si="18"/>
        <v>Nil</v>
      </c>
      <c r="AF34" s="161" t="str">
        <f t="shared" si="19"/>
        <v>Nil</v>
      </c>
      <c r="AG34" s="162" t="s">
        <v>182</v>
      </c>
      <c r="AH34" s="162" t="str">
        <f t="shared" si="9"/>
        <v>Nil</v>
      </c>
      <c r="AI34" s="162" t="str">
        <f t="shared" si="20"/>
        <v>Nil</v>
      </c>
      <c r="AJ34" s="162" t="str">
        <f t="shared" si="21"/>
        <v>Nil</v>
      </c>
      <c r="AK34" s="162" t="str">
        <f t="shared" si="22"/>
        <v>Nil</v>
      </c>
      <c r="AL34" s="162" t="str">
        <f t="shared" si="23"/>
        <v>Nil</v>
      </c>
      <c r="AM34" s="162" t="str">
        <f t="shared" si="24"/>
        <v>Nil</v>
      </c>
      <c r="AN34" s="162" t="str">
        <f t="shared" si="25"/>
        <v>Nil</v>
      </c>
      <c r="AO34" s="162" t="str">
        <f t="shared" si="26"/>
        <v>Nil</v>
      </c>
      <c r="AP34" s="163"/>
      <c r="AQ34" s="178"/>
      <c r="AR34" s="163"/>
      <c r="AS34" s="170"/>
      <c r="AT34" s="158">
        <f t="shared" ref="AT34:AT65" si="37">E34*0.495046</f>
        <v>806.92498000000001</v>
      </c>
      <c r="AU34" s="156">
        <v>1074</v>
      </c>
      <c r="AV34" s="1" t="s">
        <v>42</v>
      </c>
      <c r="AW34" s="158">
        <f t="shared" ref="AW34:AW65" si="38">E34/10.7639104</f>
        <v>151.43195543508054</v>
      </c>
      <c r="AX34" s="1" t="s">
        <v>54</v>
      </c>
      <c r="AY34" s="1" t="str">
        <f t="shared" si="10"/>
        <v>Agreement Done</v>
      </c>
      <c r="AZ34" s="179"/>
      <c r="BA34" s="179"/>
      <c r="BB34" s="222" t="str">
        <f t="shared" si="11"/>
        <v>SendMessage</v>
      </c>
      <c r="BC34" s="1"/>
    </row>
    <row r="35" spans="1:56" s="4" customFormat="1" ht="15" hidden="1">
      <c r="A35" s="157">
        <v>1104</v>
      </c>
      <c r="B35" s="1"/>
      <c r="C35" s="1" t="s">
        <v>1</v>
      </c>
      <c r="D35" s="155" t="s">
        <v>178</v>
      </c>
      <c r="E35" s="156">
        <v>1560</v>
      </c>
      <c r="F35" s="218">
        <f t="shared" si="0"/>
        <v>0</v>
      </c>
      <c r="G35" s="218"/>
      <c r="H35" s="167"/>
      <c r="I35" s="167">
        <f t="shared" si="34"/>
        <v>0</v>
      </c>
      <c r="J35" s="233"/>
      <c r="K35" s="159"/>
      <c r="L35" s="167" t="e">
        <f t="shared" si="35"/>
        <v>#DIV/0!</v>
      </c>
      <c r="M35" s="167" t="e">
        <f t="shared" si="6"/>
        <v>#DIV/0!</v>
      </c>
      <c r="N35" s="167">
        <f t="shared" si="36"/>
        <v>0</v>
      </c>
      <c r="O35" s="167">
        <f t="shared" si="7"/>
        <v>0</v>
      </c>
      <c r="P35" s="33"/>
      <c r="Q35" s="1"/>
      <c r="R35" s="1"/>
      <c r="S35" s="169"/>
      <c r="T35" s="169"/>
      <c r="U35" s="160"/>
      <c r="V35" s="1"/>
      <c r="W35" s="1" t="str">
        <f t="shared" si="8"/>
        <v/>
      </c>
      <c r="X35" s="161" t="s">
        <v>182</v>
      </c>
      <c r="Y35" s="161" t="str">
        <f t="shared" si="12"/>
        <v>Nil</v>
      </c>
      <c r="Z35" s="161" t="str">
        <f t="shared" si="13"/>
        <v>Nil</v>
      </c>
      <c r="AA35" s="161" t="str">
        <f t="shared" si="14"/>
        <v>Nil</v>
      </c>
      <c r="AB35" s="161" t="str">
        <f t="shared" si="15"/>
        <v>Nil</v>
      </c>
      <c r="AC35" s="161" t="str">
        <f t="shared" si="16"/>
        <v>Nil</v>
      </c>
      <c r="AD35" s="161" t="str">
        <f t="shared" si="17"/>
        <v>Nil</v>
      </c>
      <c r="AE35" s="161" t="str">
        <f t="shared" si="18"/>
        <v>Nil</v>
      </c>
      <c r="AF35" s="161" t="str">
        <f t="shared" si="19"/>
        <v>Nil</v>
      </c>
      <c r="AG35" s="162" t="s">
        <v>182</v>
      </c>
      <c r="AH35" s="162" t="str">
        <f t="shared" si="9"/>
        <v>Nil</v>
      </c>
      <c r="AI35" s="162" t="str">
        <f t="shared" si="20"/>
        <v>Nil</v>
      </c>
      <c r="AJ35" s="162" t="str">
        <f t="shared" si="21"/>
        <v>Nil</v>
      </c>
      <c r="AK35" s="162" t="str">
        <f t="shared" si="22"/>
        <v>Nil</v>
      </c>
      <c r="AL35" s="162" t="str">
        <f t="shared" si="23"/>
        <v>Nil</v>
      </c>
      <c r="AM35" s="162" t="str">
        <f t="shared" si="24"/>
        <v>Nil</v>
      </c>
      <c r="AN35" s="162" t="str">
        <f t="shared" si="25"/>
        <v>Nil</v>
      </c>
      <c r="AO35" s="162" t="str">
        <f t="shared" si="26"/>
        <v>Nil</v>
      </c>
      <c r="AP35" s="163"/>
      <c r="AQ35" s="178"/>
      <c r="AR35" s="163"/>
      <c r="AS35" s="170"/>
      <c r="AT35" s="158">
        <f t="shared" si="37"/>
        <v>772.27175999999997</v>
      </c>
      <c r="AU35" s="156">
        <v>984</v>
      </c>
      <c r="AV35" s="1" t="s">
        <v>42</v>
      </c>
      <c r="AW35" s="158">
        <f t="shared" si="38"/>
        <v>144.92874262498506</v>
      </c>
      <c r="AX35" s="1" t="s">
        <v>54</v>
      </c>
      <c r="AY35" s="1" t="str">
        <f t="shared" si="10"/>
        <v>Agreement Done</v>
      </c>
      <c r="AZ35" s="179"/>
      <c r="BA35" s="179"/>
      <c r="BB35" s="222" t="str">
        <f t="shared" si="11"/>
        <v>SendMessage</v>
      </c>
      <c r="BC35" s="1"/>
    </row>
    <row r="36" spans="1:56" s="4" customFormat="1" ht="15" hidden="1">
      <c r="A36" s="157">
        <v>1105</v>
      </c>
      <c r="B36" s="1"/>
      <c r="C36" s="1" t="s">
        <v>1</v>
      </c>
      <c r="D36" s="155" t="s">
        <v>178</v>
      </c>
      <c r="E36" s="156">
        <v>1510</v>
      </c>
      <c r="F36" s="218">
        <f t="shared" si="0"/>
        <v>0</v>
      </c>
      <c r="G36" s="218"/>
      <c r="H36" s="167"/>
      <c r="I36" s="167">
        <f t="shared" si="34"/>
        <v>0</v>
      </c>
      <c r="J36" s="233"/>
      <c r="K36" s="159"/>
      <c r="L36" s="167" t="e">
        <f t="shared" si="35"/>
        <v>#DIV/0!</v>
      </c>
      <c r="M36" s="167" t="e">
        <f t="shared" si="6"/>
        <v>#DIV/0!</v>
      </c>
      <c r="N36" s="167">
        <f t="shared" si="36"/>
        <v>0</v>
      </c>
      <c r="O36" s="167">
        <f t="shared" si="7"/>
        <v>0</v>
      </c>
      <c r="P36" s="33"/>
      <c r="Q36" s="1"/>
      <c r="R36" s="1"/>
      <c r="S36" s="169"/>
      <c r="T36" s="169"/>
      <c r="U36" s="160"/>
      <c r="V36" s="1"/>
      <c r="W36" s="1" t="str">
        <f t="shared" si="8"/>
        <v/>
      </c>
      <c r="X36" s="161" t="s">
        <v>182</v>
      </c>
      <c r="Y36" s="161" t="str">
        <f t="shared" si="12"/>
        <v>Nil</v>
      </c>
      <c r="Z36" s="161" t="str">
        <f t="shared" si="13"/>
        <v>Nil</v>
      </c>
      <c r="AA36" s="161" t="str">
        <f t="shared" si="14"/>
        <v>Nil</v>
      </c>
      <c r="AB36" s="161" t="str">
        <f t="shared" si="15"/>
        <v>Nil</v>
      </c>
      <c r="AC36" s="161" t="str">
        <f t="shared" si="16"/>
        <v>Nil</v>
      </c>
      <c r="AD36" s="161" t="str">
        <f t="shared" si="17"/>
        <v>Nil</v>
      </c>
      <c r="AE36" s="161" t="str">
        <f t="shared" si="18"/>
        <v>Nil</v>
      </c>
      <c r="AF36" s="161" t="str">
        <f t="shared" si="19"/>
        <v>Nil</v>
      </c>
      <c r="AG36" s="162" t="s">
        <v>182</v>
      </c>
      <c r="AH36" s="162" t="str">
        <f t="shared" si="9"/>
        <v>Nil</v>
      </c>
      <c r="AI36" s="162" t="str">
        <f t="shared" si="20"/>
        <v>Nil</v>
      </c>
      <c r="AJ36" s="162" t="str">
        <f t="shared" si="21"/>
        <v>Nil</v>
      </c>
      <c r="AK36" s="162" t="str">
        <f t="shared" si="22"/>
        <v>Nil</v>
      </c>
      <c r="AL36" s="162" t="str">
        <f t="shared" si="23"/>
        <v>Nil</v>
      </c>
      <c r="AM36" s="162" t="str">
        <f t="shared" si="24"/>
        <v>Nil</v>
      </c>
      <c r="AN36" s="162" t="str">
        <f t="shared" si="25"/>
        <v>Nil</v>
      </c>
      <c r="AO36" s="162" t="str">
        <f t="shared" si="26"/>
        <v>Nil</v>
      </c>
      <c r="AP36" s="163"/>
      <c r="AQ36" s="178"/>
      <c r="AR36" s="163"/>
      <c r="AS36" s="170"/>
      <c r="AT36" s="158">
        <f t="shared" si="37"/>
        <v>747.51945999999998</v>
      </c>
      <c r="AU36" s="156">
        <v>945</v>
      </c>
      <c r="AV36" s="1" t="s">
        <v>42</v>
      </c>
      <c r="AW36" s="158">
        <f t="shared" si="38"/>
        <v>140.283590617774</v>
      </c>
      <c r="AX36" s="1" t="s">
        <v>54</v>
      </c>
      <c r="AY36" s="1" t="str">
        <f t="shared" si="10"/>
        <v>Agreement Done</v>
      </c>
      <c r="AZ36" s="179"/>
      <c r="BA36" s="179"/>
      <c r="BB36" s="222" t="str">
        <f t="shared" si="11"/>
        <v>SendMessage</v>
      </c>
      <c r="BC36" s="1"/>
    </row>
    <row r="37" spans="1:56">
      <c r="A37" s="157">
        <v>1201</v>
      </c>
      <c r="B37" s="1" t="s">
        <v>667</v>
      </c>
      <c r="C37" s="1" t="s">
        <v>1</v>
      </c>
      <c r="D37" s="155" t="s">
        <v>177</v>
      </c>
      <c r="E37" s="217">
        <v>1265</v>
      </c>
      <c r="F37" s="218">
        <f t="shared" si="0"/>
        <v>8035912.5</v>
      </c>
      <c r="G37" s="218"/>
      <c r="H37" s="218">
        <f>'1201'!$E$19</f>
        <v>401796</v>
      </c>
      <c r="I37" s="218">
        <f t="shared" si="34"/>
        <v>7634116.5</v>
      </c>
      <c r="J37" s="233"/>
      <c r="K37" s="159">
        <v>6050</v>
      </c>
      <c r="L37" s="218">
        <f t="shared" si="35"/>
        <v>5.0000046665515585</v>
      </c>
      <c r="M37" s="218">
        <f t="shared" si="6"/>
        <v>94.999995333448439</v>
      </c>
      <c r="N37" s="218">
        <f t="shared" si="36"/>
        <v>3214365</v>
      </c>
      <c r="O37" s="218">
        <f t="shared" si="7"/>
        <v>2812569</v>
      </c>
      <c r="P37" s="33" t="s">
        <v>656</v>
      </c>
      <c r="Q37" s="1" t="s">
        <v>841</v>
      </c>
      <c r="R37" s="1" t="s">
        <v>484</v>
      </c>
      <c r="S37" s="169">
        <f>'1201'!G4</f>
        <v>7634117</v>
      </c>
      <c r="T37" s="169">
        <f>'1201'!H4</f>
        <v>0</v>
      </c>
      <c r="U37" s="160">
        <v>46035</v>
      </c>
      <c r="V37" s="1" t="s">
        <v>252</v>
      </c>
      <c r="W37" s="160">
        <v>46067</v>
      </c>
      <c r="X37" s="161" t="s">
        <v>684</v>
      </c>
      <c r="Y37" s="161" t="s">
        <v>1065</v>
      </c>
      <c r="Z37" s="161" t="s">
        <v>685</v>
      </c>
      <c r="AA37" s="161" t="s">
        <v>172</v>
      </c>
      <c r="AB37" s="161">
        <v>41</v>
      </c>
      <c r="AC37" s="161" t="s">
        <v>172</v>
      </c>
      <c r="AD37" s="223" t="s">
        <v>172</v>
      </c>
      <c r="AE37" s="161" t="s">
        <v>1066</v>
      </c>
      <c r="AF37" s="161" t="s">
        <v>1067</v>
      </c>
      <c r="AG37" s="162" t="s">
        <v>625</v>
      </c>
      <c r="AH37" s="162" t="s">
        <v>227</v>
      </c>
      <c r="AI37" s="162" t="s">
        <v>626</v>
      </c>
      <c r="AJ37" s="162" t="s">
        <v>228</v>
      </c>
      <c r="AK37" s="162">
        <v>41</v>
      </c>
      <c r="AL37" s="162" t="s">
        <v>229</v>
      </c>
      <c r="AM37" s="162" t="s">
        <v>230</v>
      </c>
      <c r="AN37" s="162" t="s">
        <v>231</v>
      </c>
      <c r="AO37" s="162" t="s">
        <v>232</v>
      </c>
      <c r="AP37" s="163" t="s">
        <v>347</v>
      </c>
      <c r="AQ37" s="178">
        <v>46035</v>
      </c>
      <c r="AR37" s="163" t="s">
        <v>258</v>
      </c>
      <c r="AS37" s="170">
        <v>200000</v>
      </c>
      <c r="AT37" s="158">
        <f t="shared" si="37"/>
        <v>626.23319000000004</v>
      </c>
      <c r="AU37" s="156">
        <v>770</v>
      </c>
      <c r="AV37" s="1" t="s">
        <v>43</v>
      </c>
      <c r="AW37" s="158">
        <f t="shared" si="38"/>
        <v>117.5223457824398</v>
      </c>
      <c r="AX37" s="1" t="s">
        <v>54</v>
      </c>
      <c r="AY37" s="1" t="str">
        <f t="shared" si="10"/>
        <v>Agreement Done</v>
      </c>
      <c r="AZ37" s="179"/>
      <c r="BA37" s="179"/>
      <c r="BB37" s="222" t="str">
        <f t="shared" si="11"/>
        <v>SendMessage</v>
      </c>
      <c r="BC37" s="1"/>
      <c r="BD37" s="4"/>
    </row>
    <row r="38" spans="1:56" s="4" customFormat="1" ht="15" hidden="1">
      <c r="A38" s="157">
        <v>1202</v>
      </c>
      <c r="B38" s="1"/>
      <c r="C38" s="1" t="s">
        <v>1</v>
      </c>
      <c r="D38" s="155" t="s">
        <v>178</v>
      </c>
      <c r="E38" s="156">
        <v>1495</v>
      </c>
      <c r="F38" s="218">
        <f t="shared" si="0"/>
        <v>0</v>
      </c>
      <c r="G38" s="218"/>
      <c r="H38" s="167"/>
      <c r="I38" s="167">
        <f t="shared" si="34"/>
        <v>0</v>
      </c>
      <c r="J38" s="233"/>
      <c r="K38" s="159"/>
      <c r="L38" s="167" t="e">
        <f t="shared" si="35"/>
        <v>#DIV/0!</v>
      </c>
      <c r="M38" s="167" t="e">
        <f t="shared" si="6"/>
        <v>#DIV/0!</v>
      </c>
      <c r="N38" s="167">
        <f t="shared" si="36"/>
        <v>0</v>
      </c>
      <c r="O38" s="167">
        <f t="shared" si="7"/>
        <v>0</v>
      </c>
      <c r="P38" s="33"/>
      <c r="Q38" s="1"/>
      <c r="R38" s="1"/>
      <c r="S38" s="169"/>
      <c r="T38" s="169"/>
      <c r="U38" s="160"/>
      <c r="V38" s="1"/>
      <c r="W38" s="1" t="str">
        <f t="shared" si="8"/>
        <v/>
      </c>
      <c r="X38" s="161" t="s">
        <v>182</v>
      </c>
      <c r="Y38" s="161" t="str">
        <f t="shared" si="12"/>
        <v>Nil</v>
      </c>
      <c r="Z38" s="161" t="str">
        <f t="shared" si="13"/>
        <v>Nil</v>
      </c>
      <c r="AA38" s="161" t="str">
        <f t="shared" si="14"/>
        <v>Nil</v>
      </c>
      <c r="AB38" s="161" t="str">
        <f t="shared" si="15"/>
        <v>Nil</v>
      </c>
      <c r="AC38" s="161" t="str">
        <f t="shared" si="16"/>
        <v>Nil</v>
      </c>
      <c r="AD38" s="161" t="str">
        <f t="shared" si="17"/>
        <v>Nil</v>
      </c>
      <c r="AE38" s="161" t="str">
        <f t="shared" si="18"/>
        <v>Nil</v>
      </c>
      <c r="AF38" s="161" t="str">
        <f t="shared" si="19"/>
        <v>Nil</v>
      </c>
      <c r="AG38" s="162" t="s">
        <v>182</v>
      </c>
      <c r="AH38" s="162" t="str">
        <f t="shared" si="9"/>
        <v>Nil</v>
      </c>
      <c r="AI38" s="162" t="str">
        <f t="shared" si="20"/>
        <v>Nil</v>
      </c>
      <c r="AJ38" s="162" t="str">
        <f t="shared" si="21"/>
        <v>Nil</v>
      </c>
      <c r="AK38" s="162" t="str">
        <f t="shared" si="22"/>
        <v>Nil</v>
      </c>
      <c r="AL38" s="162" t="str">
        <f t="shared" si="23"/>
        <v>Nil</v>
      </c>
      <c r="AM38" s="162" t="str">
        <f t="shared" si="24"/>
        <v>Nil</v>
      </c>
      <c r="AN38" s="162" t="str">
        <f t="shared" si="25"/>
        <v>Nil</v>
      </c>
      <c r="AO38" s="162" t="str">
        <f t="shared" si="26"/>
        <v>Nil</v>
      </c>
      <c r="AP38" s="163"/>
      <c r="AQ38" s="178"/>
      <c r="AR38" s="163"/>
      <c r="AS38" s="170"/>
      <c r="AT38" s="158">
        <f t="shared" si="37"/>
        <v>740.09376999999995</v>
      </c>
      <c r="AU38" s="156">
        <v>967</v>
      </c>
      <c r="AV38" s="1" t="s">
        <v>43</v>
      </c>
      <c r="AW38" s="158">
        <f t="shared" si="38"/>
        <v>138.89004501561067</v>
      </c>
      <c r="AX38" s="1" t="s">
        <v>54</v>
      </c>
      <c r="AY38" s="1" t="str">
        <f t="shared" si="10"/>
        <v>Agreement Done</v>
      </c>
      <c r="AZ38" s="179"/>
      <c r="BA38" s="179"/>
      <c r="BB38" s="222" t="str">
        <f t="shared" si="11"/>
        <v>SendMessage</v>
      </c>
      <c r="BC38" s="1"/>
    </row>
    <row r="39" spans="1:56">
      <c r="A39" s="157">
        <v>1203</v>
      </c>
      <c r="B39" s="1" t="s">
        <v>698</v>
      </c>
      <c r="C39" s="1" t="s">
        <v>1</v>
      </c>
      <c r="D39" s="155" t="s">
        <v>178</v>
      </c>
      <c r="E39" s="217">
        <v>1630</v>
      </c>
      <c r="F39" s="218">
        <f t="shared" si="0"/>
        <v>10354575</v>
      </c>
      <c r="G39" s="218"/>
      <c r="H39" s="218">
        <f>'1203'!$E$19</f>
        <v>4141830</v>
      </c>
      <c r="I39" s="218">
        <f t="shared" si="34"/>
        <v>6212745</v>
      </c>
      <c r="J39" s="233"/>
      <c r="K39" s="159">
        <v>6050</v>
      </c>
      <c r="L39" s="218">
        <f t="shared" si="35"/>
        <v>40</v>
      </c>
      <c r="M39" s="218">
        <f t="shared" si="6"/>
        <v>60</v>
      </c>
      <c r="N39" s="218">
        <f t="shared" si="36"/>
        <v>4141830</v>
      </c>
      <c r="O39" s="218">
        <f t="shared" si="7"/>
        <v>0</v>
      </c>
      <c r="P39" s="33" t="s">
        <v>656</v>
      </c>
      <c r="Q39" s="1" t="s">
        <v>841</v>
      </c>
      <c r="R39" s="1" t="s">
        <v>484</v>
      </c>
      <c r="S39" s="169">
        <f>'1203'!G4</f>
        <v>536846</v>
      </c>
      <c r="T39" s="169">
        <f>'1203'!H4</f>
        <v>5675899</v>
      </c>
      <c r="U39" s="160">
        <v>46068</v>
      </c>
      <c r="V39" s="1" t="s">
        <v>303</v>
      </c>
      <c r="W39" s="160">
        <v>46074</v>
      </c>
      <c r="X39" s="161" t="s">
        <v>698</v>
      </c>
      <c r="Y39" s="161" t="s">
        <v>775</v>
      </c>
      <c r="Z39" s="161" t="s">
        <v>848</v>
      </c>
      <c r="AA39" s="161" t="s">
        <v>172</v>
      </c>
      <c r="AB39" s="161">
        <v>35</v>
      </c>
      <c r="AC39" s="213" t="s">
        <v>699</v>
      </c>
      <c r="AD39" s="223" t="s">
        <v>700</v>
      </c>
      <c r="AE39" s="161"/>
      <c r="AF39" s="161"/>
      <c r="AG39" s="162" t="s">
        <v>182</v>
      </c>
      <c r="AH39" s="162" t="str">
        <f t="shared" si="9"/>
        <v>Nil</v>
      </c>
      <c r="AI39" s="162" t="str">
        <f t="shared" si="20"/>
        <v>Nil</v>
      </c>
      <c r="AJ39" s="162" t="str">
        <f t="shared" si="21"/>
        <v>Nil</v>
      </c>
      <c r="AK39" s="162" t="str">
        <f t="shared" si="22"/>
        <v>Nil</v>
      </c>
      <c r="AL39" s="162" t="str">
        <f t="shared" si="23"/>
        <v>Nil</v>
      </c>
      <c r="AM39" s="162" t="str">
        <f t="shared" si="24"/>
        <v>Nil</v>
      </c>
      <c r="AN39" s="162" t="str">
        <f t="shared" si="25"/>
        <v>Nil</v>
      </c>
      <c r="AO39" s="162" t="str">
        <f t="shared" si="26"/>
        <v>Nil</v>
      </c>
      <c r="AP39" s="163"/>
      <c r="AQ39" s="178"/>
      <c r="AR39" s="163"/>
      <c r="AS39" s="170"/>
      <c r="AT39" s="158">
        <f t="shared" si="37"/>
        <v>806.92498000000001</v>
      </c>
      <c r="AU39" s="156">
        <v>1074</v>
      </c>
      <c r="AV39" s="1" t="s">
        <v>43</v>
      </c>
      <c r="AW39" s="158">
        <f t="shared" si="38"/>
        <v>151.43195543508054</v>
      </c>
      <c r="AX39" s="1" t="s">
        <v>54</v>
      </c>
      <c r="AY39" s="1" t="str">
        <f t="shared" si="10"/>
        <v>Agreement Done</v>
      </c>
      <c r="AZ39" s="179"/>
      <c r="BA39" s="179"/>
      <c r="BB39" s="222" t="str">
        <f t="shared" si="11"/>
        <v>SendMessage</v>
      </c>
      <c r="BC39" s="1" t="s">
        <v>314</v>
      </c>
      <c r="BD39" s="4"/>
    </row>
    <row r="40" spans="1:56" s="4" customFormat="1" ht="15" hidden="1">
      <c r="A40" s="157">
        <v>1204</v>
      </c>
      <c r="B40" s="1"/>
      <c r="C40" s="1" t="s">
        <v>1</v>
      </c>
      <c r="D40" s="155" t="s">
        <v>178</v>
      </c>
      <c r="E40" s="156">
        <v>1560</v>
      </c>
      <c r="F40" s="218">
        <f t="shared" si="0"/>
        <v>0</v>
      </c>
      <c r="G40" s="218"/>
      <c r="H40" s="167"/>
      <c r="I40" s="167">
        <f t="shared" si="34"/>
        <v>0</v>
      </c>
      <c r="J40" s="233"/>
      <c r="K40" s="159"/>
      <c r="L40" s="167" t="e">
        <f t="shared" si="35"/>
        <v>#DIV/0!</v>
      </c>
      <c r="M40" s="167" t="e">
        <f t="shared" si="6"/>
        <v>#DIV/0!</v>
      </c>
      <c r="N40" s="167">
        <f t="shared" si="36"/>
        <v>0</v>
      </c>
      <c r="O40" s="167">
        <f t="shared" si="7"/>
        <v>0</v>
      </c>
      <c r="P40" s="33"/>
      <c r="Q40" s="1"/>
      <c r="R40" s="1"/>
      <c r="S40" s="169"/>
      <c r="T40" s="169"/>
      <c r="U40" s="160"/>
      <c r="V40" s="1"/>
      <c r="W40" s="1" t="str">
        <f t="shared" si="8"/>
        <v/>
      </c>
      <c r="X40" s="161" t="s">
        <v>182</v>
      </c>
      <c r="Y40" s="161" t="str">
        <f t="shared" si="12"/>
        <v>Nil</v>
      </c>
      <c r="Z40" s="161" t="str">
        <f t="shared" si="13"/>
        <v>Nil</v>
      </c>
      <c r="AA40" s="161" t="str">
        <f t="shared" si="14"/>
        <v>Nil</v>
      </c>
      <c r="AB40" s="161" t="str">
        <f t="shared" si="15"/>
        <v>Nil</v>
      </c>
      <c r="AC40" s="161" t="str">
        <f t="shared" si="16"/>
        <v>Nil</v>
      </c>
      <c r="AD40" s="161" t="str">
        <f t="shared" si="17"/>
        <v>Nil</v>
      </c>
      <c r="AE40" s="161" t="str">
        <f t="shared" si="18"/>
        <v>Nil</v>
      </c>
      <c r="AF40" s="161" t="str">
        <f t="shared" si="19"/>
        <v>Nil</v>
      </c>
      <c r="AG40" s="162" t="s">
        <v>182</v>
      </c>
      <c r="AH40" s="162" t="str">
        <f t="shared" si="9"/>
        <v>Nil</v>
      </c>
      <c r="AI40" s="162" t="str">
        <f t="shared" si="20"/>
        <v>Nil</v>
      </c>
      <c r="AJ40" s="162" t="str">
        <f t="shared" si="21"/>
        <v>Nil</v>
      </c>
      <c r="AK40" s="162" t="str">
        <f t="shared" si="22"/>
        <v>Nil</v>
      </c>
      <c r="AL40" s="162" t="str">
        <f t="shared" si="23"/>
        <v>Nil</v>
      </c>
      <c r="AM40" s="162" t="str">
        <f t="shared" si="24"/>
        <v>Nil</v>
      </c>
      <c r="AN40" s="162" t="str">
        <f t="shared" si="25"/>
        <v>Nil</v>
      </c>
      <c r="AO40" s="162" t="str">
        <f t="shared" si="26"/>
        <v>Nil</v>
      </c>
      <c r="AP40" s="163"/>
      <c r="AQ40" s="178"/>
      <c r="AR40" s="163"/>
      <c r="AS40" s="170"/>
      <c r="AT40" s="158">
        <f t="shared" si="37"/>
        <v>772.27175999999997</v>
      </c>
      <c r="AU40" s="156">
        <v>984</v>
      </c>
      <c r="AV40" s="1" t="s">
        <v>43</v>
      </c>
      <c r="AW40" s="158">
        <f t="shared" si="38"/>
        <v>144.92874262498506</v>
      </c>
      <c r="AX40" s="1" t="s">
        <v>54</v>
      </c>
      <c r="AY40" s="1" t="str">
        <f t="shared" si="10"/>
        <v>Agreement Done</v>
      </c>
      <c r="AZ40" s="179"/>
      <c r="BA40" s="179"/>
      <c r="BB40" s="222" t="str">
        <f t="shared" si="11"/>
        <v>SendMessage</v>
      </c>
      <c r="BC40" s="1"/>
    </row>
    <row r="41" spans="1:56" s="4" customFormat="1" ht="15" hidden="1">
      <c r="A41" s="157">
        <v>1205</v>
      </c>
      <c r="B41" s="1"/>
      <c r="C41" s="1" t="s">
        <v>1</v>
      </c>
      <c r="D41" s="155" t="s">
        <v>178</v>
      </c>
      <c r="E41" s="156">
        <v>1510</v>
      </c>
      <c r="F41" s="218">
        <f t="shared" si="0"/>
        <v>0</v>
      </c>
      <c r="G41" s="218"/>
      <c r="H41" s="167"/>
      <c r="I41" s="167">
        <f t="shared" si="34"/>
        <v>0</v>
      </c>
      <c r="J41" s="233"/>
      <c r="K41" s="159"/>
      <c r="L41" s="167" t="e">
        <f t="shared" si="35"/>
        <v>#DIV/0!</v>
      </c>
      <c r="M41" s="167" t="e">
        <f t="shared" si="6"/>
        <v>#DIV/0!</v>
      </c>
      <c r="N41" s="167">
        <f t="shared" si="36"/>
        <v>0</v>
      </c>
      <c r="O41" s="167">
        <f t="shared" si="7"/>
        <v>0</v>
      </c>
      <c r="P41" s="33"/>
      <c r="Q41" s="1"/>
      <c r="R41" s="1"/>
      <c r="S41" s="169"/>
      <c r="T41" s="169"/>
      <c r="U41" s="160"/>
      <c r="V41" s="1"/>
      <c r="W41" s="1" t="str">
        <f t="shared" si="8"/>
        <v/>
      </c>
      <c r="X41" s="161" t="s">
        <v>182</v>
      </c>
      <c r="Y41" s="161" t="str">
        <f t="shared" si="12"/>
        <v>Nil</v>
      </c>
      <c r="Z41" s="161" t="str">
        <f t="shared" si="13"/>
        <v>Nil</v>
      </c>
      <c r="AA41" s="161" t="str">
        <f t="shared" si="14"/>
        <v>Nil</v>
      </c>
      <c r="AB41" s="161" t="str">
        <f t="shared" si="15"/>
        <v>Nil</v>
      </c>
      <c r="AC41" s="161" t="str">
        <f t="shared" si="16"/>
        <v>Nil</v>
      </c>
      <c r="AD41" s="161" t="str">
        <f t="shared" si="17"/>
        <v>Nil</v>
      </c>
      <c r="AE41" s="161" t="str">
        <f t="shared" si="18"/>
        <v>Nil</v>
      </c>
      <c r="AF41" s="161" t="str">
        <f t="shared" si="19"/>
        <v>Nil</v>
      </c>
      <c r="AG41" s="162" t="s">
        <v>182</v>
      </c>
      <c r="AH41" s="162" t="str">
        <f t="shared" si="9"/>
        <v>Nil</v>
      </c>
      <c r="AI41" s="162" t="str">
        <f t="shared" si="20"/>
        <v>Nil</v>
      </c>
      <c r="AJ41" s="162" t="str">
        <f t="shared" si="21"/>
        <v>Nil</v>
      </c>
      <c r="AK41" s="162" t="str">
        <f t="shared" si="22"/>
        <v>Nil</v>
      </c>
      <c r="AL41" s="162" t="str">
        <f t="shared" si="23"/>
        <v>Nil</v>
      </c>
      <c r="AM41" s="162" t="str">
        <f t="shared" si="24"/>
        <v>Nil</v>
      </c>
      <c r="AN41" s="162" t="str">
        <f t="shared" si="25"/>
        <v>Nil</v>
      </c>
      <c r="AO41" s="162" t="str">
        <f t="shared" si="26"/>
        <v>Nil</v>
      </c>
      <c r="AP41" s="163"/>
      <c r="AQ41" s="178"/>
      <c r="AR41" s="163"/>
      <c r="AS41" s="170"/>
      <c r="AT41" s="158">
        <f t="shared" si="37"/>
        <v>747.51945999999998</v>
      </c>
      <c r="AU41" s="156">
        <v>945</v>
      </c>
      <c r="AV41" s="1" t="s">
        <v>43</v>
      </c>
      <c r="AW41" s="158">
        <f t="shared" si="38"/>
        <v>140.283590617774</v>
      </c>
      <c r="AX41" s="1" t="s">
        <v>54</v>
      </c>
      <c r="AY41" s="1" t="str">
        <f t="shared" si="10"/>
        <v>Agreement Done</v>
      </c>
      <c r="AZ41" s="179"/>
      <c r="BA41" s="179"/>
      <c r="BB41" s="222" t="str">
        <f t="shared" si="11"/>
        <v>SendMessage</v>
      </c>
      <c r="BC41" s="1"/>
    </row>
    <row r="42" spans="1:56" s="4" customFormat="1" ht="15">
      <c r="A42" s="157">
        <v>1301</v>
      </c>
      <c r="B42" s="1" t="s">
        <v>762</v>
      </c>
      <c r="C42" s="1" t="s">
        <v>1</v>
      </c>
      <c r="D42" s="155" t="s">
        <v>177</v>
      </c>
      <c r="E42" s="217">
        <v>1265</v>
      </c>
      <c r="F42" s="218">
        <f t="shared" si="0"/>
        <v>8700037.5</v>
      </c>
      <c r="G42" s="218"/>
      <c r="H42" s="218">
        <f>'1301'!$E$19</f>
        <v>100000</v>
      </c>
      <c r="I42" s="218">
        <f t="shared" si="34"/>
        <v>8600037.5</v>
      </c>
      <c r="J42" s="233"/>
      <c r="K42" s="159">
        <v>6550</v>
      </c>
      <c r="L42" s="218">
        <f t="shared" si="35"/>
        <v>1.149420332958335</v>
      </c>
      <c r="M42" s="218">
        <f t="shared" si="6"/>
        <v>98.850579667041671</v>
      </c>
      <c r="N42" s="218">
        <f t="shared" si="36"/>
        <v>3480015</v>
      </c>
      <c r="O42" s="218">
        <f t="shared" si="7"/>
        <v>3380015</v>
      </c>
      <c r="P42" s="33"/>
      <c r="Q42" s="1"/>
      <c r="R42" s="1" t="s">
        <v>773</v>
      </c>
      <c r="S42" s="169">
        <f>'1301'!G4</f>
        <v>8600038</v>
      </c>
      <c r="T42" s="169">
        <f>'1301'!H4</f>
        <v>0</v>
      </c>
      <c r="U42" s="160">
        <v>46073</v>
      </c>
      <c r="V42" s="1" t="s">
        <v>821</v>
      </c>
      <c r="W42" s="1" t="str">
        <f t="shared" si="8"/>
        <v>Agre not Done</v>
      </c>
      <c r="X42" s="161" t="s">
        <v>756</v>
      </c>
      <c r="Y42" s="161" t="s">
        <v>763</v>
      </c>
      <c r="Z42" s="161" t="s">
        <v>761</v>
      </c>
      <c r="AA42" s="161" t="s">
        <v>172</v>
      </c>
      <c r="AB42" s="161">
        <v>30</v>
      </c>
      <c r="AC42" s="161" t="s">
        <v>758</v>
      </c>
      <c r="AD42" s="223" t="s">
        <v>759</v>
      </c>
      <c r="AE42" s="161" t="s">
        <v>774</v>
      </c>
      <c r="AF42" s="161" t="s">
        <v>760</v>
      </c>
      <c r="AG42" s="162" t="s">
        <v>764</v>
      </c>
      <c r="AH42" s="162" t="s">
        <v>766</v>
      </c>
      <c r="AI42" s="162" t="s">
        <v>767</v>
      </c>
      <c r="AJ42" s="162" t="s">
        <v>172</v>
      </c>
      <c r="AK42" s="162">
        <v>31</v>
      </c>
      <c r="AL42" s="162" t="s">
        <v>757</v>
      </c>
      <c r="AM42" s="224" t="s">
        <v>748</v>
      </c>
      <c r="AN42" s="162" t="s">
        <v>768</v>
      </c>
      <c r="AO42" s="162" t="s">
        <v>765</v>
      </c>
      <c r="AP42" s="163" t="s">
        <v>769</v>
      </c>
      <c r="AQ42" s="178">
        <v>46073</v>
      </c>
      <c r="AR42" s="163" t="s">
        <v>770</v>
      </c>
      <c r="AS42" s="170">
        <v>100000</v>
      </c>
      <c r="AT42" s="158">
        <f t="shared" si="37"/>
        <v>626.23319000000004</v>
      </c>
      <c r="AU42" s="156">
        <v>770</v>
      </c>
      <c r="AV42" s="1" t="s">
        <v>44</v>
      </c>
      <c r="AW42" s="158">
        <f t="shared" si="38"/>
        <v>117.5223457824398</v>
      </c>
      <c r="AX42" s="1" t="s">
        <v>54</v>
      </c>
      <c r="AY42" s="1" t="str">
        <f t="shared" si="10"/>
        <v/>
      </c>
      <c r="AZ42" s="179"/>
      <c r="BA42" s="179"/>
      <c r="BB42" s="222" t="str">
        <f t="shared" si="11"/>
        <v>SendMessage</v>
      </c>
      <c r="BC42" s="1"/>
    </row>
    <row r="43" spans="1:56" s="4" customFormat="1" ht="15" hidden="1">
      <c r="A43" s="157">
        <v>1302</v>
      </c>
      <c r="B43" s="1"/>
      <c r="C43" s="1" t="s">
        <v>1</v>
      </c>
      <c r="D43" s="155" t="s">
        <v>178</v>
      </c>
      <c r="E43" s="156">
        <v>1495</v>
      </c>
      <c r="F43" s="218">
        <f t="shared" si="0"/>
        <v>0</v>
      </c>
      <c r="G43" s="218"/>
      <c r="H43" s="167"/>
      <c r="I43" s="167">
        <f t="shared" si="34"/>
        <v>0</v>
      </c>
      <c r="J43" s="233"/>
      <c r="K43" s="159"/>
      <c r="L43" s="167" t="e">
        <f t="shared" si="35"/>
        <v>#DIV/0!</v>
      </c>
      <c r="M43" s="167" t="e">
        <f t="shared" si="6"/>
        <v>#DIV/0!</v>
      </c>
      <c r="N43" s="167">
        <f t="shared" si="36"/>
        <v>0</v>
      </c>
      <c r="O43" s="167">
        <f t="shared" si="7"/>
        <v>0</v>
      </c>
      <c r="P43" s="33"/>
      <c r="Q43" s="1"/>
      <c r="R43" s="1"/>
      <c r="S43" s="169"/>
      <c r="T43" s="169"/>
      <c r="U43" s="160"/>
      <c r="V43" s="1"/>
      <c r="W43" s="1" t="str">
        <f t="shared" si="8"/>
        <v/>
      </c>
      <c r="X43" s="161" t="s">
        <v>182</v>
      </c>
      <c r="Y43" s="161" t="str">
        <f t="shared" si="12"/>
        <v>Nil</v>
      </c>
      <c r="Z43" s="161" t="str">
        <f t="shared" si="13"/>
        <v>Nil</v>
      </c>
      <c r="AA43" s="161" t="str">
        <f t="shared" si="14"/>
        <v>Nil</v>
      </c>
      <c r="AB43" s="161" t="str">
        <f t="shared" si="15"/>
        <v>Nil</v>
      </c>
      <c r="AC43" s="161" t="str">
        <f t="shared" si="16"/>
        <v>Nil</v>
      </c>
      <c r="AD43" s="161" t="str">
        <f t="shared" si="17"/>
        <v>Nil</v>
      </c>
      <c r="AE43" s="161" t="str">
        <f t="shared" si="18"/>
        <v>Nil</v>
      </c>
      <c r="AF43" s="161" t="str">
        <f t="shared" si="19"/>
        <v>Nil</v>
      </c>
      <c r="AG43" s="162" t="s">
        <v>182</v>
      </c>
      <c r="AH43" s="162" t="str">
        <f t="shared" si="9"/>
        <v>Nil</v>
      </c>
      <c r="AI43" s="162" t="str">
        <f t="shared" si="20"/>
        <v>Nil</v>
      </c>
      <c r="AJ43" s="162" t="str">
        <f t="shared" si="21"/>
        <v>Nil</v>
      </c>
      <c r="AK43" s="162" t="str">
        <f t="shared" si="22"/>
        <v>Nil</v>
      </c>
      <c r="AL43" s="162" t="str">
        <f t="shared" si="23"/>
        <v>Nil</v>
      </c>
      <c r="AM43" s="162" t="str">
        <f t="shared" si="24"/>
        <v>Nil</v>
      </c>
      <c r="AN43" s="162" t="str">
        <f t="shared" si="25"/>
        <v>Nil</v>
      </c>
      <c r="AO43" s="162" t="str">
        <f t="shared" si="26"/>
        <v>Nil</v>
      </c>
      <c r="AP43" s="163"/>
      <c r="AQ43" s="178"/>
      <c r="AR43" s="163"/>
      <c r="AS43" s="170"/>
      <c r="AT43" s="158">
        <f t="shared" si="37"/>
        <v>740.09376999999995</v>
      </c>
      <c r="AU43" s="156">
        <v>967</v>
      </c>
      <c r="AV43" s="1" t="s">
        <v>44</v>
      </c>
      <c r="AW43" s="158">
        <f t="shared" si="38"/>
        <v>138.89004501561067</v>
      </c>
      <c r="AX43" s="1" t="s">
        <v>54</v>
      </c>
      <c r="AY43" s="1" t="str">
        <f t="shared" si="10"/>
        <v>Agreement Done</v>
      </c>
      <c r="AZ43" s="179"/>
      <c r="BA43" s="179"/>
      <c r="BB43" s="222" t="str">
        <f t="shared" si="11"/>
        <v>SendMessage</v>
      </c>
      <c r="BC43" s="1"/>
    </row>
    <row r="44" spans="1:56" s="4" customFormat="1" ht="15" hidden="1">
      <c r="A44" s="157">
        <v>1303</v>
      </c>
      <c r="B44" s="1"/>
      <c r="C44" s="1" t="s">
        <v>1</v>
      </c>
      <c r="D44" s="155" t="s">
        <v>178</v>
      </c>
      <c r="E44" s="156">
        <v>1630</v>
      </c>
      <c r="F44" s="218">
        <f t="shared" si="0"/>
        <v>0</v>
      </c>
      <c r="G44" s="218"/>
      <c r="H44" s="167"/>
      <c r="I44" s="167">
        <f t="shared" si="34"/>
        <v>0</v>
      </c>
      <c r="J44" s="233"/>
      <c r="K44" s="159"/>
      <c r="L44" s="167" t="e">
        <f t="shared" si="35"/>
        <v>#DIV/0!</v>
      </c>
      <c r="M44" s="167" t="e">
        <f t="shared" si="6"/>
        <v>#DIV/0!</v>
      </c>
      <c r="N44" s="167">
        <f t="shared" si="36"/>
        <v>0</v>
      </c>
      <c r="O44" s="167">
        <f t="shared" si="7"/>
        <v>0</v>
      </c>
      <c r="P44" s="33"/>
      <c r="Q44" s="1"/>
      <c r="R44" s="1"/>
      <c r="S44" s="169"/>
      <c r="T44" s="169"/>
      <c r="U44" s="160"/>
      <c r="V44" s="1"/>
      <c r="W44" s="1" t="str">
        <f t="shared" si="8"/>
        <v/>
      </c>
      <c r="X44" s="161" t="s">
        <v>182</v>
      </c>
      <c r="Y44" s="161" t="str">
        <f t="shared" si="12"/>
        <v>Nil</v>
      </c>
      <c r="Z44" s="161" t="str">
        <f t="shared" si="13"/>
        <v>Nil</v>
      </c>
      <c r="AA44" s="161" t="str">
        <f t="shared" si="14"/>
        <v>Nil</v>
      </c>
      <c r="AB44" s="161" t="str">
        <f t="shared" si="15"/>
        <v>Nil</v>
      </c>
      <c r="AC44" s="161" t="str">
        <f t="shared" si="16"/>
        <v>Nil</v>
      </c>
      <c r="AD44" s="161" t="str">
        <f t="shared" si="17"/>
        <v>Nil</v>
      </c>
      <c r="AE44" s="161" t="str">
        <f t="shared" si="18"/>
        <v>Nil</v>
      </c>
      <c r="AF44" s="161" t="str">
        <f t="shared" si="19"/>
        <v>Nil</v>
      </c>
      <c r="AG44" s="162" t="s">
        <v>182</v>
      </c>
      <c r="AH44" s="162" t="str">
        <f t="shared" si="9"/>
        <v>Nil</v>
      </c>
      <c r="AI44" s="162" t="str">
        <f t="shared" si="20"/>
        <v>Nil</v>
      </c>
      <c r="AJ44" s="162" t="str">
        <f t="shared" si="21"/>
        <v>Nil</v>
      </c>
      <c r="AK44" s="162" t="str">
        <f t="shared" si="22"/>
        <v>Nil</v>
      </c>
      <c r="AL44" s="162" t="str">
        <f t="shared" si="23"/>
        <v>Nil</v>
      </c>
      <c r="AM44" s="162" t="str">
        <f t="shared" si="24"/>
        <v>Nil</v>
      </c>
      <c r="AN44" s="162" t="str">
        <f t="shared" si="25"/>
        <v>Nil</v>
      </c>
      <c r="AO44" s="162" t="str">
        <f t="shared" si="26"/>
        <v>Nil</v>
      </c>
      <c r="AP44" s="163"/>
      <c r="AQ44" s="178"/>
      <c r="AR44" s="163"/>
      <c r="AS44" s="170"/>
      <c r="AT44" s="158">
        <f t="shared" si="37"/>
        <v>806.92498000000001</v>
      </c>
      <c r="AU44" s="156">
        <v>1074</v>
      </c>
      <c r="AV44" s="1" t="s">
        <v>44</v>
      </c>
      <c r="AW44" s="158">
        <f t="shared" si="38"/>
        <v>151.43195543508054</v>
      </c>
      <c r="AX44" s="1" t="s">
        <v>54</v>
      </c>
      <c r="AY44" s="1" t="str">
        <f t="shared" si="10"/>
        <v>Agreement Done</v>
      </c>
      <c r="AZ44" s="179"/>
      <c r="BA44" s="179"/>
      <c r="BB44" s="222" t="str">
        <f t="shared" si="11"/>
        <v>SendMessage</v>
      </c>
      <c r="BC44" s="1"/>
    </row>
    <row r="45" spans="1:56" s="4" customFormat="1" ht="15" hidden="1">
      <c r="A45" s="157">
        <v>1304</v>
      </c>
      <c r="B45" s="1"/>
      <c r="C45" s="1" t="s">
        <v>1</v>
      </c>
      <c r="D45" s="155" t="s">
        <v>178</v>
      </c>
      <c r="E45" s="156">
        <v>1560</v>
      </c>
      <c r="F45" s="218">
        <f t="shared" si="0"/>
        <v>0</v>
      </c>
      <c r="G45" s="218"/>
      <c r="H45" s="167"/>
      <c r="I45" s="167">
        <f t="shared" si="34"/>
        <v>0</v>
      </c>
      <c r="J45" s="233"/>
      <c r="K45" s="159"/>
      <c r="L45" s="167" t="e">
        <f t="shared" si="35"/>
        <v>#DIV/0!</v>
      </c>
      <c r="M45" s="167" t="e">
        <f t="shared" si="6"/>
        <v>#DIV/0!</v>
      </c>
      <c r="N45" s="167">
        <f t="shared" si="36"/>
        <v>0</v>
      </c>
      <c r="O45" s="167">
        <f t="shared" si="7"/>
        <v>0</v>
      </c>
      <c r="P45" s="33"/>
      <c r="Q45" s="1"/>
      <c r="R45" s="1"/>
      <c r="S45" s="169"/>
      <c r="T45" s="169"/>
      <c r="U45" s="160"/>
      <c r="V45" s="1"/>
      <c r="W45" s="1" t="str">
        <f t="shared" si="8"/>
        <v/>
      </c>
      <c r="X45" s="161" t="s">
        <v>182</v>
      </c>
      <c r="Y45" s="161" t="str">
        <f t="shared" si="12"/>
        <v>Nil</v>
      </c>
      <c r="Z45" s="161" t="str">
        <f t="shared" si="13"/>
        <v>Nil</v>
      </c>
      <c r="AA45" s="161" t="str">
        <f t="shared" si="14"/>
        <v>Nil</v>
      </c>
      <c r="AB45" s="161" t="str">
        <f t="shared" si="15"/>
        <v>Nil</v>
      </c>
      <c r="AC45" s="161" t="str">
        <f t="shared" si="16"/>
        <v>Nil</v>
      </c>
      <c r="AD45" s="161" t="str">
        <f t="shared" si="17"/>
        <v>Nil</v>
      </c>
      <c r="AE45" s="161" t="str">
        <f t="shared" si="18"/>
        <v>Nil</v>
      </c>
      <c r="AF45" s="161" t="str">
        <f t="shared" si="19"/>
        <v>Nil</v>
      </c>
      <c r="AG45" s="162" t="s">
        <v>182</v>
      </c>
      <c r="AH45" s="162" t="str">
        <f t="shared" si="9"/>
        <v>Nil</v>
      </c>
      <c r="AI45" s="162" t="str">
        <f t="shared" si="20"/>
        <v>Nil</v>
      </c>
      <c r="AJ45" s="162" t="str">
        <f t="shared" si="21"/>
        <v>Nil</v>
      </c>
      <c r="AK45" s="162" t="str">
        <f t="shared" si="22"/>
        <v>Nil</v>
      </c>
      <c r="AL45" s="162" t="str">
        <f t="shared" si="23"/>
        <v>Nil</v>
      </c>
      <c r="AM45" s="162" t="str">
        <f t="shared" si="24"/>
        <v>Nil</v>
      </c>
      <c r="AN45" s="162" t="str">
        <f t="shared" si="25"/>
        <v>Nil</v>
      </c>
      <c r="AO45" s="162" t="str">
        <f t="shared" si="26"/>
        <v>Nil</v>
      </c>
      <c r="AP45" s="163"/>
      <c r="AQ45" s="178"/>
      <c r="AR45" s="163"/>
      <c r="AS45" s="170"/>
      <c r="AT45" s="158">
        <f t="shared" si="37"/>
        <v>772.27175999999997</v>
      </c>
      <c r="AU45" s="156">
        <v>984</v>
      </c>
      <c r="AV45" s="1" t="s">
        <v>44</v>
      </c>
      <c r="AW45" s="158">
        <f t="shared" si="38"/>
        <v>144.92874262498506</v>
      </c>
      <c r="AX45" s="1" t="s">
        <v>54</v>
      </c>
      <c r="AY45" s="1" t="str">
        <f t="shared" si="10"/>
        <v>Agreement Done</v>
      </c>
      <c r="AZ45" s="179"/>
      <c r="BA45" s="179"/>
      <c r="BB45" s="222" t="str">
        <f t="shared" si="11"/>
        <v>SendMessage</v>
      </c>
      <c r="BC45" s="1"/>
    </row>
    <row r="46" spans="1:56" s="4" customFormat="1" ht="15" hidden="1">
      <c r="A46" s="157">
        <v>1305</v>
      </c>
      <c r="B46" s="1"/>
      <c r="C46" s="1" t="s">
        <v>1</v>
      </c>
      <c r="D46" s="155" t="s">
        <v>178</v>
      </c>
      <c r="E46" s="156">
        <v>1510</v>
      </c>
      <c r="F46" s="218">
        <f t="shared" si="0"/>
        <v>0</v>
      </c>
      <c r="G46" s="218"/>
      <c r="H46" s="167"/>
      <c r="I46" s="167">
        <f t="shared" si="34"/>
        <v>0</v>
      </c>
      <c r="J46" s="233"/>
      <c r="K46" s="159"/>
      <c r="L46" s="167" t="e">
        <f t="shared" si="35"/>
        <v>#DIV/0!</v>
      </c>
      <c r="M46" s="167" t="e">
        <f t="shared" si="6"/>
        <v>#DIV/0!</v>
      </c>
      <c r="N46" s="167">
        <f t="shared" si="36"/>
        <v>0</v>
      </c>
      <c r="O46" s="167">
        <f t="shared" si="7"/>
        <v>0</v>
      </c>
      <c r="P46" s="33"/>
      <c r="Q46" s="1"/>
      <c r="R46" s="1"/>
      <c r="S46" s="169"/>
      <c r="T46" s="169"/>
      <c r="U46" s="160"/>
      <c r="V46" s="1"/>
      <c r="W46" s="1" t="str">
        <f t="shared" si="8"/>
        <v/>
      </c>
      <c r="X46" s="161" t="s">
        <v>182</v>
      </c>
      <c r="Y46" s="161" t="str">
        <f t="shared" si="12"/>
        <v>Nil</v>
      </c>
      <c r="Z46" s="161" t="str">
        <f t="shared" si="13"/>
        <v>Nil</v>
      </c>
      <c r="AA46" s="161" t="str">
        <f t="shared" si="14"/>
        <v>Nil</v>
      </c>
      <c r="AB46" s="161" t="str">
        <f t="shared" si="15"/>
        <v>Nil</v>
      </c>
      <c r="AC46" s="161" t="str">
        <f t="shared" si="16"/>
        <v>Nil</v>
      </c>
      <c r="AD46" s="161" t="str">
        <f t="shared" si="17"/>
        <v>Nil</v>
      </c>
      <c r="AE46" s="161" t="str">
        <f t="shared" si="18"/>
        <v>Nil</v>
      </c>
      <c r="AF46" s="161" t="str">
        <f t="shared" si="19"/>
        <v>Nil</v>
      </c>
      <c r="AG46" s="162" t="s">
        <v>182</v>
      </c>
      <c r="AH46" s="162" t="str">
        <f t="shared" si="9"/>
        <v>Nil</v>
      </c>
      <c r="AI46" s="162" t="str">
        <f t="shared" si="20"/>
        <v>Nil</v>
      </c>
      <c r="AJ46" s="162" t="str">
        <f t="shared" si="21"/>
        <v>Nil</v>
      </c>
      <c r="AK46" s="162" t="str">
        <f t="shared" si="22"/>
        <v>Nil</v>
      </c>
      <c r="AL46" s="162" t="str">
        <f t="shared" si="23"/>
        <v>Nil</v>
      </c>
      <c r="AM46" s="162" t="str">
        <f t="shared" si="24"/>
        <v>Nil</v>
      </c>
      <c r="AN46" s="162" t="str">
        <f t="shared" si="25"/>
        <v>Nil</v>
      </c>
      <c r="AO46" s="162" t="str">
        <f t="shared" si="26"/>
        <v>Nil</v>
      </c>
      <c r="AP46" s="163"/>
      <c r="AQ46" s="178"/>
      <c r="AR46" s="163"/>
      <c r="AS46" s="170"/>
      <c r="AT46" s="158">
        <f t="shared" si="37"/>
        <v>747.51945999999998</v>
      </c>
      <c r="AU46" s="156">
        <v>945</v>
      </c>
      <c r="AV46" s="1" t="s">
        <v>44</v>
      </c>
      <c r="AW46" s="158">
        <f t="shared" si="38"/>
        <v>140.283590617774</v>
      </c>
      <c r="AX46" s="1" t="s">
        <v>54</v>
      </c>
      <c r="AY46" s="1" t="str">
        <f t="shared" si="10"/>
        <v>Agreement Done</v>
      </c>
      <c r="AZ46" s="179"/>
      <c r="BA46" s="179"/>
      <c r="BB46" s="222" t="str">
        <f t="shared" si="11"/>
        <v>SendMessage</v>
      </c>
      <c r="BC46" s="1"/>
    </row>
    <row r="47" spans="1:56">
      <c r="A47" s="157">
        <v>1501</v>
      </c>
      <c r="B47" s="1" t="s">
        <v>205</v>
      </c>
      <c r="C47" s="1" t="s">
        <v>1</v>
      </c>
      <c r="D47" s="155" t="s">
        <v>177</v>
      </c>
      <c r="E47" s="217">
        <v>1265</v>
      </c>
      <c r="F47" s="218">
        <f t="shared" si="0"/>
        <v>8035912.5</v>
      </c>
      <c r="G47" s="218"/>
      <c r="H47" s="218">
        <f>'1501'!E19</f>
        <v>3870261</v>
      </c>
      <c r="I47" s="218">
        <f t="shared" si="34"/>
        <v>4165651.5</v>
      </c>
      <c r="J47" s="233"/>
      <c r="K47" s="159">
        <v>6050</v>
      </c>
      <c r="L47" s="218">
        <f t="shared" si="35"/>
        <v>48.162060002519937</v>
      </c>
      <c r="M47" s="218">
        <f t="shared" si="6"/>
        <v>51.837939997480063</v>
      </c>
      <c r="N47" s="218">
        <f t="shared" si="36"/>
        <v>3214365</v>
      </c>
      <c r="O47" s="218">
        <f t="shared" si="7"/>
        <v>0</v>
      </c>
      <c r="P47" s="33" t="s">
        <v>656</v>
      </c>
      <c r="Q47" s="1" t="s">
        <v>841</v>
      </c>
      <c r="R47" s="1" t="s">
        <v>484</v>
      </c>
      <c r="S47" s="169">
        <f>'1501'!G4</f>
        <v>434117</v>
      </c>
      <c r="T47" s="169">
        <f>'1501'!H4</f>
        <v>3731535</v>
      </c>
      <c r="U47" s="160">
        <v>46035</v>
      </c>
      <c r="V47" s="1" t="s">
        <v>250</v>
      </c>
      <c r="W47" s="160">
        <v>46067</v>
      </c>
      <c r="X47" s="161" t="s">
        <v>205</v>
      </c>
      <c r="Y47" s="161" t="s">
        <v>207</v>
      </c>
      <c r="Z47" s="161" t="s">
        <v>208</v>
      </c>
      <c r="AA47" s="161" t="s">
        <v>172</v>
      </c>
      <c r="AB47" s="161">
        <v>40</v>
      </c>
      <c r="AC47" s="161" t="s">
        <v>210</v>
      </c>
      <c r="AD47" s="223" t="s">
        <v>211</v>
      </c>
      <c r="AE47" s="161" t="s">
        <v>209</v>
      </c>
      <c r="AF47" s="161" t="s">
        <v>206</v>
      </c>
      <c r="AG47" s="162" t="s">
        <v>182</v>
      </c>
      <c r="AH47" s="162" t="str">
        <f t="shared" si="9"/>
        <v>Nil</v>
      </c>
      <c r="AI47" s="162" t="str">
        <f t="shared" si="20"/>
        <v>Nil</v>
      </c>
      <c r="AJ47" s="162" t="str">
        <f t="shared" si="21"/>
        <v>Nil</v>
      </c>
      <c r="AK47" s="162" t="str">
        <f t="shared" si="22"/>
        <v>Nil</v>
      </c>
      <c r="AL47" s="162" t="str">
        <f t="shared" si="23"/>
        <v>Nil</v>
      </c>
      <c r="AM47" s="162" t="str">
        <f t="shared" si="24"/>
        <v>Nil</v>
      </c>
      <c r="AN47" s="162" t="str">
        <f t="shared" si="25"/>
        <v>Nil</v>
      </c>
      <c r="AO47" s="162" t="str">
        <f t="shared" si="26"/>
        <v>Nil</v>
      </c>
      <c r="AP47" s="163" t="s">
        <v>257</v>
      </c>
      <c r="AQ47" s="178">
        <v>46035</v>
      </c>
      <c r="AR47" s="163" t="s">
        <v>258</v>
      </c>
      <c r="AS47" s="170">
        <v>200000</v>
      </c>
      <c r="AT47" s="158">
        <f t="shared" si="37"/>
        <v>626.23319000000004</v>
      </c>
      <c r="AU47" s="156">
        <v>770</v>
      </c>
      <c r="AV47" s="1" t="s">
        <v>45</v>
      </c>
      <c r="AW47" s="158">
        <f t="shared" si="38"/>
        <v>117.5223457824398</v>
      </c>
      <c r="AX47" s="1" t="s">
        <v>54</v>
      </c>
      <c r="AY47" s="1" t="str">
        <f t="shared" si="10"/>
        <v>Agreement Done</v>
      </c>
      <c r="AZ47" s="179"/>
      <c r="BA47" s="179"/>
      <c r="BB47" s="222" t="str">
        <f t="shared" si="11"/>
        <v>SendMessage</v>
      </c>
      <c r="BC47" s="1" t="s">
        <v>315</v>
      </c>
      <c r="BD47" s="4"/>
    </row>
    <row r="48" spans="1:56">
      <c r="A48" s="157">
        <v>1502</v>
      </c>
      <c r="B48" s="1" t="s">
        <v>327</v>
      </c>
      <c r="C48" s="1" t="s">
        <v>1</v>
      </c>
      <c r="D48" s="155" t="s">
        <v>178</v>
      </c>
      <c r="E48" s="217">
        <v>1495</v>
      </c>
      <c r="F48" s="218">
        <f t="shared" si="0"/>
        <v>9983610</v>
      </c>
      <c r="G48" s="218"/>
      <c r="H48" s="218">
        <f>'1502'!E22</f>
        <v>3993444</v>
      </c>
      <c r="I48" s="218">
        <f t="shared" si="34"/>
        <v>5990166</v>
      </c>
      <c r="J48" s="233"/>
      <c r="K48" s="159">
        <v>6360</v>
      </c>
      <c r="L48" s="218">
        <f t="shared" si="35"/>
        <v>40</v>
      </c>
      <c r="M48" s="218">
        <f t="shared" si="6"/>
        <v>60</v>
      </c>
      <c r="N48" s="218">
        <f t="shared" si="36"/>
        <v>3993444</v>
      </c>
      <c r="O48" s="218">
        <f t="shared" si="7"/>
        <v>0</v>
      </c>
      <c r="P48" s="33" t="s">
        <v>656</v>
      </c>
      <c r="Q48" s="1" t="s">
        <v>841</v>
      </c>
      <c r="R48" s="1" t="s">
        <v>484</v>
      </c>
      <c r="S48" s="169">
        <f>'1502'!G4</f>
        <v>-2509834</v>
      </c>
      <c r="T48" s="169">
        <f>'1502'!H4</f>
        <v>8500000</v>
      </c>
      <c r="U48" s="160">
        <v>46041</v>
      </c>
      <c r="V48" s="1" t="s">
        <v>460</v>
      </c>
      <c r="W48" s="160">
        <v>46046</v>
      </c>
      <c r="X48" s="161" t="s">
        <v>348</v>
      </c>
      <c r="Y48" s="161" t="s">
        <v>520</v>
      </c>
      <c r="Z48" s="161" t="s">
        <v>521</v>
      </c>
      <c r="AA48" s="161" t="s">
        <v>172</v>
      </c>
      <c r="AB48" s="161">
        <v>39</v>
      </c>
      <c r="AC48" s="161" t="s">
        <v>330</v>
      </c>
      <c r="AD48" s="223" t="s">
        <v>350</v>
      </c>
      <c r="AE48" s="161" t="s">
        <v>523</v>
      </c>
      <c r="AF48" s="161" t="s">
        <v>522</v>
      </c>
      <c r="AG48" s="162" t="s">
        <v>349</v>
      </c>
      <c r="AH48" s="162" t="s">
        <v>524</v>
      </c>
      <c r="AI48" s="162" t="s">
        <v>627</v>
      </c>
      <c r="AJ48" s="162" t="s">
        <v>172</v>
      </c>
      <c r="AK48" s="162">
        <v>44</v>
      </c>
      <c r="AL48" s="162"/>
      <c r="AM48" s="162"/>
      <c r="AN48" s="162" t="s">
        <v>526</v>
      </c>
      <c r="AO48" s="162" t="s">
        <v>525</v>
      </c>
      <c r="AP48" s="163"/>
      <c r="AQ48" s="178"/>
      <c r="AR48" s="163"/>
      <c r="AS48" s="170"/>
      <c r="AT48" s="158">
        <f t="shared" si="37"/>
        <v>740.09376999999995</v>
      </c>
      <c r="AU48" s="156">
        <v>967</v>
      </c>
      <c r="AV48" s="1" t="s">
        <v>45</v>
      </c>
      <c r="AW48" s="158">
        <f t="shared" si="38"/>
        <v>138.89004501561067</v>
      </c>
      <c r="AX48" s="1" t="s">
        <v>54</v>
      </c>
      <c r="AY48" s="1" t="str">
        <f t="shared" si="10"/>
        <v>Agreement Done</v>
      </c>
      <c r="AZ48" s="179"/>
      <c r="BA48" s="179"/>
      <c r="BB48" s="222" t="str">
        <f t="shared" si="11"/>
        <v>SendMessage</v>
      </c>
      <c r="BC48" s="1"/>
      <c r="BD48" s="4"/>
    </row>
    <row r="49" spans="1:56">
      <c r="A49" s="157">
        <v>1503</v>
      </c>
      <c r="B49" s="1" t="s">
        <v>273</v>
      </c>
      <c r="C49" s="1" t="s">
        <v>1</v>
      </c>
      <c r="D49" s="155" t="s">
        <v>178</v>
      </c>
      <c r="E49" s="217">
        <v>1630</v>
      </c>
      <c r="F49" s="218">
        <f t="shared" si="0"/>
        <v>10354575</v>
      </c>
      <c r="G49" s="218"/>
      <c r="H49" s="218">
        <f>'1503'!E19</f>
        <v>4141830</v>
      </c>
      <c r="I49" s="218">
        <f t="shared" si="34"/>
        <v>6212745</v>
      </c>
      <c r="J49" s="233"/>
      <c r="K49" s="159">
        <v>6050</v>
      </c>
      <c r="L49" s="218">
        <f t="shared" si="35"/>
        <v>40</v>
      </c>
      <c r="M49" s="218">
        <f t="shared" si="6"/>
        <v>60</v>
      </c>
      <c r="N49" s="218">
        <f t="shared" si="36"/>
        <v>4141830</v>
      </c>
      <c r="O49" s="218">
        <f t="shared" si="7"/>
        <v>0</v>
      </c>
      <c r="P49" s="33" t="s">
        <v>656</v>
      </c>
      <c r="Q49" s="1" t="s">
        <v>841</v>
      </c>
      <c r="R49" s="1" t="s">
        <v>484</v>
      </c>
      <c r="S49" s="169">
        <f>'1503'!G4</f>
        <v>536847</v>
      </c>
      <c r="T49" s="169">
        <f>'1503'!H4</f>
        <v>5675898</v>
      </c>
      <c r="U49" s="160">
        <v>46036</v>
      </c>
      <c r="V49" s="1" t="s">
        <v>459</v>
      </c>
      <c r="W49" s="160">
        <v>46067</v>
      </c>
      <c r="X49" s="161" t="s">
        <v>273</v>
      </c>
      <c r="Y49" s="161" t="s">
        <v>614</v>
      </c>
      <c r="Z49" s="161" t="s">
        <v>615</v>
      </c>
      <c r="AA49" s="161" t="s">
        <v>172</v>
      </c>
      <c r="AB49" s="161">
        <v>37</v>
      </c>
      <c r="AC49" s="161" t="s">
        <v>275</v>
      </c>
      <c r="AD49" s="223" t="s">
        <v>281</v>
      </c>
      <c r="AE49" s="161" t="s">
        <v>617</v>
      </c>
      <c r="AF49" s="161" t="s">
        <v>616</v>
      </c>
      <c r="AG49" s="162" t="s">
        <v>182</v>
      </c>
      <c r="AH49" s="162" t="str">
        <f t="shared" si="9"/>
        <v>Nil</v>
      </c>
      <c r="AI49" s="162" t="str">
        <f t="shared" si="20"/>
        <v>Nil</v>
      </c>
      <c r="AJ49" s="162" t="str">
        <f t="shared" si="21"/>
        <v>Nil</v>
      </c>
      <c r="AK49" s="162" t="str">
        <f t="shared" si="22"/>
        <v>Nil</v>
      </c>
      <c r="AL49" s="162" t="str">
        <f t="shared" si="23"/>
        <v>Nil</v>
      </c>
      <c r="AM49" s="162" t="str">
        <f t="shared" si="24"/>
        <v>Nil</v>
      </c>
      <c r="AN49" s="162" t="str">
        <f t="shared" si="25"/>
        <v>Nil</v>
      </c>
      <c r="AO49" s="162" t="str">
        <f t="shared" si="26"/>
        <v>Nil</v>
      </c>
      <c r="AP49" s="163"/>
      <c r="AQ49" s="178"/>
      <c r="AR49" s="163"/>
      <c r="AS49" s="170"/>
      <c r="AT49" s="158">
        <f t="shared" si="37"/>
        <v>806.92498000000001</v>
      </c>
      <c r="AU49" s="156">
        <v>1074</v>
      </c>
      <c r="AV49" s="1" t="s">
        <v>45</v>
      </c>
      <c r="AW49" s="158">
        <f t="shared" si="38"/>
        <v>151.43195543508054</v>
      </c>
      <c r="AX49" s="1" t="s">
        <v>54</v>
      </c>
      <c r="AY49" s="1" t="str">
        <f t="shared" si="10"/>
        <v>Agreement Done</v>
      </c>
      <c r="AZ49" s="179"/>
      <c r="BA49" s="179"/>
      <c r="BB49" s="222" t="str">
        <f t="shared" si="11"/>
        <v>SendMessage</v>
      </c>
      <c r="BC49" s="1" t="s">
        <v>315</v>
      </c>
      <c r="BD49" s="4"/>
    </row>
    <row r="50" spans="1:56" s="4" customFormat="1" ht="15" hidden="1">
      <c r="A50" s="157">
        <v>1504</v>
      </c>
      <c r="B50" s="1"/>
      <c r="C50" s="1" t="s">
        <v>1</v>
      </c>
      <c r="D50" s="155" t="s">
        <v>178</v>
      </c>
      <c r="E50" s="156">
        <v>1560</v>
      </c>
      <c r="F50" s="218">
        <f t="shared" si="0"/>
        <v>0</v>
      </c>
      <c r="G50" s="218"/>
      <c r="H50" s="167"/>
      <c r="I50" s="167">
        <f t="shared" si="34"/>
        <v>0</v>
      </c>
      <c r="J50" s="233"/>
      <c r="K50" s="159"/>
      <c r="L50" s="167" t="e">
        <f t="shared" si="35"/>
        <v>#DIV/0!</v>
      </c>
      <c r="M50" s="167" t="e">
        <f t="shared" si="6"/>
        <v>#DIV/0!</v>
      </c>
      <c r="N50" s="167">
        <f t="shared" si="36"/>
        <v>0</v>
      </c>
      <c r="O50" s="167">
        <f t="shared" si="7"/>
        <v>0</v>
      </c>
      <c r="P50" s="33"/>
      <c r="Q50" s="1"/>
      <c r="R50" s="1"/>
      <c r="S50" s="169"/>
      <c r="T50" s="169"/>
      <c r="U50" s="160"/>
      <c r="V50" s="1"/>
      <c r="W50" s="1" t="str">
        <f t="shared" si="8"/>
        <v/>
      </c>
      <c r="X50" s="161" t="s">
        <v>182</v>
      </c>
      <c r="Y50" s="161" t="str">
        <f t="shared" si="12"/>
        <v>Nil</v>
      </c>
      <c r="Z50" s="161" t="str">
        <f t="shared" si="13"/>
        <v>Nil</v>
      </c>
      <c r="AA50" s="161" t="str">
        <f t="shared" si="14"/>
        <v>Nil</v>
      </c>
      <c r="AB50" s="161" t="str">
        <f t="shared" si="15"/>
        <v>Nil</v>
      </c>
      <c r="AC50" s="161" t="str">
        <f t="shared" si="16"/>
        <v>Nil</v>
      </c>
      <c r="AD50" s="161" t="str">
        <f t="shared" si="17"/>
        <v>Nil</v>
      </c>
      <c r="AE50" s="161" t="str">
        <f t="shared" si="18"/>
        <v>Nil</v>
      </c>
      <c r="AF50" s="161" t="str">
        <f t="shared" si="19"/>
        <v>Nil</v>
      </c>
      <c r="AG50" s="162" t="s">
        <v>182</v>
      </c>
      <c r="AH50" s="162" t="str">
        <f t="shared" si="9"/>
        <v>Nil</v>
      </c>
      <c r="AI50" s="162" t="str">
        <f t="shared" si="20"/>
        <v>Nil</v>
      </c>
      <c r="AJ50" s="162" t="str">
        <f t="shared" si="21"/>
        <v>Nil</v>
      </c>
      <c r="AK50" s="162" t="str">
        <f t="shared" si="22"/>
        <v>Nil</v>
      </c>
      <c r="AL50" s="162" t="str">
        <f t="shared" si="23"/>
        <v>Nil</v>
      </c>
      <c r="AM50" s="162" t="str">
        <f t="shared" si="24"/>
        <v>Nil</v>
      </c>
      <c r="AN50" s="162" t="str">
        <f t="shared" si="25"/>
        <v>Nil</v>
      </c>
      <c r="AO50" s="162" t="str">
        <f t="shared" si="26"/>
        <v>Nil</v>
      </c>
      <c r="AP50" s="163"/>
      <c r="AQ50" s="178"/>
      <c r="AR50" s="163"/>
      <c r="AS50" s="170"/>
      <c r="AT50" s="158">
        <f t="shared" si="37"/>
        <v>772.27175999999997</v>
      </c>
      <c r="AU50" s="156">
        <v>984</v>
      </c>
      <c r="AV50" s="1" t="s">
        <v>45</v>
      </c>
      <c r="AW50" s="158">
        <f t="shared" si="38"/>
        <v>144.92874262498506</v>
      </c>
      <c r="AX50" s="1" t="s">
        <v>54</v>
      </c>
      <c r="AY50" s="1" t="str">
        <f t="shared" si="10"/>
        <v>Agreement Done</v>
      </c>
      <c r="AZ50" s="179"/>
      <c r="BA50" s="179"/>
      <c r="BB50" s="222" t="str">
        <f t="shared" si="11"/>
        <v>SendMessage</v>
      </c>
      <c r="BC50" s="1"/>
    </row>
    <row r="51" spans="1:56">
      <c r="A51" s="157">
        <v>1505</v>
      </c>
      <c r="B51" s="1" t="s">
        <v>279</v>
      </c>
      <c r="C51" s="1" t="s">
        <v>1</v>
      </c>
      <c r="D51" s="155" t="s">
        <v>178</v>
      </c>
      <c r="E51" s="217">
        <v>1510</v>
      </c>
      <c r="F51" s="218">
        <f t="shared" si="0"/>
        <v>10147200</v>
      </c>
      <c r="G51" s="218"/>
      <c r="H51" s="218">
        <f>'1505'!$E$19</f>
        <v>4058880</v>
      </c>
      <c r="I51" s="218">
        <f t="shared" si="34"/>
        <v>6088320</v>
      </c>
      <c r="J51" s="233"/>
      <c r="K51" s="159">
        <v>6400</v>
      </c>
      <c r="L51" s="218">
        <f t="shared" si="35"/>
        <v>40</v>
      </c>
      <c r="M51" s="218">
        <f t="shared" si="6"/>
        <v>60</v>
      </c>
      <c r="N51" s="218">
        <f t="shared" si="36"/>
        <v>4058880</v>
      </c>
      <c r="O51" s="218">
        <f t="shared" si="7"/>
        <v>0</v>
      </c>
      <c r="P51" s="33" t="s">
        <v>503</v>
      </c>
      <c r="Q51" s="1" t="s">
        <v>841</v>
      </c>
      <c r="R51" s="1" t="s">
        <v>484</v>
      </c>
      <c r="S51" s="169">
        <f>'1505'!G4</f>
        <v>1617760</v>
      </c>
      <c r="T51" s="169">
        <f>'1505'!H4</f>
        <v>4470560</v>
      </c>
      <c r="U51" s="160">
        <v>46037</v>
      </c>
      <c r="V51" s="1" t="s">
        <v>300</v>
      </c>
      <c r="W51" s="160">
        <v>46045</v>
      </c>
      <c r="X51" s="161" t="s">
        <v>351</v>
      </c>
      <c r="Y51" s="161" t="s">
        <v>353</v>
      </c>
      <c r="Z51" s="161" t="s">
        <v>628</v>
      </c>
      <c r="AA51" s="161" t="s">
        <v>172</v>
      </c>
      <c r="AB51" s="161">
        <v>40</v>
      </c>
      <c r="AC51" s="161" t="s">
        <v>312</v>
      </c>
      <c r="AD51" s="223" t="s">
        <v>280</v>
      </c>
      <c r="AE51" s="161" t="s">
        <v>355</v>
      </c>
      <c r="AF51" s="161" t="s">
        <v>354</v>
      </c>
      <c r="AG51" s="162" t="s">
        <v>352</v>
      </c>
      <c r="AH51" s="162" t="s">
        <v>428</v>
      </c>
      <c r="AI51" s="162" t="s">
        <v>429</v>
      </c>
      <c r="AJ51" s="162" t="s">
        <v>172</v>
      </c>
      <c r="AK51" s="162">
        <v>37</v>
      </c>
      <c r="AL51" s="162" t="s">
        <v>430</v>
      </c>
      <c r="AM51" s="162" t="s">
        <v>172</v>
      </c>
      <c r="AN51" s="162" t="s">
        <v>431</v>
      </c>
      <c r="AO51" s="162" t="s">
        <v>432</v>
      </c>
      <c r="AP51" s="163"/>
      <c r="AQ51" s="178"/>
      <c r="AR51" s="163"/>
      <c r="AS51" s="170"/>
      <c r="AT51" s="158">
        <f t="shared" si="37"/>
        <v>747.51945999999998</v>
      </c>
      <c r="AU51" s="156">
        <v>945</v>
      </c>
      <c r="AV51" s="1" t="s">
        <v>45</v>
      </c>
      <c r="AW51" s="158">
        <f t="shared" si="38"/>
        <v>140.283590617774</v>
      </c>
      <c r="AX51" s="1" t="s">
        <v>54</v>
      </c>
      <c r="AY51" s="1" t="str">
        <f t="shared" si="10"/>
        <v>Agreement Done</v>
      </c>
      <c r="AZ51" s="179"/>
      <c r="BA51" s="179"/>
      <c r="BB51" s="222" t="str">
        <f t="shared" si="11"/>
        <v>SendMessage</v>
      </c>
      <c r="BC51" s="1" t="s">
        <v>314</v>
      </c>
      <c r="BD51" s="4"/>
    </row>
    <row r="52" spans="1:56">
      <c r="A52" s="157">
        <v>1601</v>
      </c>
      <c r="B52" s="1" t="s">
        <v>234</v>
      </c>
      <c r="C52" s="1" t="s">
        <v>1</v>
      </c>
      <c r="D52" s="155" t="s">
        <v>177</v>
      </c>
      <c r="E52" s="217">
        <v>1265</v>
      </c>
      <c r="F52" s="218">
        <f t="shared" si="0"/>
        <v>8035912.5</v>
      </c>
      <c r="G52" s="218"/>
      <c r="H52" s="218">
        <f>'1601'!E19</f>
        <v>3214365</v>
      </c>
      <c r="I52" s="218">
        <f t="shared" si="34"/>
        <v>4821547.5</v>
      </c>
      <c r="J52" s="233"/>
      <c r="K52" s="159">
        <v>6050</v>
      </c>
      <c r="L52" s="218">
        <f t="shared" si="35"/>
        <v>40</v>
      </c>
      <c r="M52" s="218">
        <f t="shared" si="6"/>
        <v>60</v>
      </c>
      <c r="N52" s="218">
        <f t="shared" si="36"/>
        <v>3214365</v>
      </c>
      <c r="O52" s="218">
        <f t="shared" si="7"/>
        <v>0</v>
      </c>
      <c r="P52" s="33" t="s">
        <v>656</v>
      </c>
      <c r="Q52" s="1" t="s">
        <v>841</v>
      </c>
      <c r="R52" s="1" t="s">
        <v>484</v>
      </c>
      <c r="S52" s="169">
        <f>'1601'!G4</f>
        <v>389117</v>
      </c>
      <c r="T52" s="169">
        <f>'1601'!H4</f>
        <v>4432431</v>
      </c>
      <c r="U52" s="160">
        <v>46035</v>
      </c>
      <c r="V52" s="1" t="s">
        <v>256</v>
      </c>
      <c r="W52" s="160">
        <v>46064</v>
      </c>
      <c r="X52" s="161" t="s">
        <v>234</v>
      </c>
      <c r="Y52" s="161" t="s">
        <v>236</v>
      </c>
      <c r="Z52" s="161" t="s">
        <v>237</v>
      </c>
      <c r="AA52" s="161" t="s">
        <v>238</v>
      </c>
      <c r="AB52" s="161">
        <v>41</v>
      </c>
      <c r="AC52" s="161" t="s">
        <v>241</v>
      </c>
      <c r="AD52" s="223" t="s">
        <v>235</v>
      </c>
      <c r="AE52" s="161" t="s">
        <v>240</v>
      </c>
      <c r="AF52" s="161" t="s">
        <v>239</v>
      </c>
      <c r="AG52" s="162" t="s">
        <v>182</v>
      </c>
      <c r="AH52" s="162" t="str">
        <f t="shared" si="9"/>
        <v>Nil</v>
      </c>
      <c r="AI52" s="162" t="str">
        <f t="shared" si="20"/>
        <v>Nil</v>
      </c>
      <c r="AJ52" s="162" t="str">
        <f t="shared" si="21"/>
        <v>Nil</v>
      </c>
      <c r="AK52" s="162" t="str">
        <f t="shared" si="22"/>
        <v>Nil</v>
      </c>
      <c r="AL52" s="162" t="str">
        <f t="shared" si="23"/>
        <v>Nil</v>
      </c>
      <c r="AM52" s="162" t="str">
        <f t="shared" si="24"/>
        <v>Nil</v>
      </c>
      <c r="AN52" s="162" t="str">
        <f t="shared" si="25"/>
        <v>Nil</v>
      </c>
      <c r="AO52" s="162" t="str">
        <f t="shared" si="26"/>
        <v>Nil</v>
      </c>
      <c r="AP52" s="163" t="s">
        <v>259</v>
      </c>
      <c r="AQ52" s="178">
        <v>46035</v>
      </c>
      <c r="AR52" s="163" t="s">
        <v>260</v>
      </c>
      <c r="AS52" s="170">
        <v>200000</v>
      </c>
      <c r="AT52" s="158">
        <f t="shared" si="37"/>
        <v>626.23319000000004</v>
      </c>
      <c r="AU52" s="156">
        <v>770</v>
      </c>
      <c r="AV52" s="1" t="s">
        <v>46</v>
      </c>
      <c r="AW52" s="158">
        <f t="shared" si="38"/>
        <v>117.5223457824398</v>
      </c>
      <c r="AX52" s="1" t="s">
        <v>54</v>
      </c>
      <c r="AY52" s="1" t="str">
        <f t="shared" si="10"/>
        <v>Agreement Done</v>
      </c>
      <c r="AZ52" s="179"/>
      <c r="BA52" s="179"/>
      <c r="BB52" s="222" t="str">
        <f t="shared" si="11"/>
        <v>SendMessage</v>
      </c>
      <c r="BC52" s="1" t="s">
        <v>314</v>
      </c>
      <c r="BD52" s="4"/>
    </row>
    <row r="53" spans="1:56" s="4" customFormat="1" ht="15">
      <c r="A53" s="157">
        <v>1602</v>
      </c>
      <c r="B53" s="1" t="s">
        <v>560</v>
      </c>
      <c r="C53" s="1" t="s">
        <v>1</v>
      </c>
      <c r="D53" s="155" t="s">
        <v>178</v>
      </c>
      <c r="E53" s="217">
        <v>1495</v>
      </c>
      <c r="F53" s="218">
        <f t="shared" si="0"/>
        <v>10360350</v>
      </c>
      <c r="G53" s="218"/>
      <c r="H53" s="218">
        <f>'1602'!E19</f>
        <v>4144140</v>
      </c>
      <c r="I53" s="218">
        <f t="shared" si="34"/>
        <v>6216210</v>
      </c>
      <c r="J53" s="233"/>
      <c r="K53" s="159">
        <v>6600</v>
      </c>
      <c r="L53" s="218">
        <f t="shared" si="35"/>
        <v>40</v>
      </c>
      <c r="M53" s="218">
        <f t="shared" si="6"/>
        <v>60</v>
      </c>
      <c r="N53" s="218">
        <f t="shared" si="36"/>
        <v>4144140</v>
      </c>
      <c r="O53" s="218">
        <f t="shared" si="7"/>
        <v>0</v>
      </c>
      <c r="P53" s="33" t="s">
        <v>503</v>
      </c>
      <c r="Q53" s="1" t="s">
        <v>841</v>
      </c>
      <c r="R53" s="1" t="s">
        <v>484</v>
      </c>
      <c r="S53" s="169">
        <f>'1602'!G4</f>
        <v>518277</v>
      </c>
      <c r="T53" s="169">
        <f>'1602'!H4</f>
        <v>5697933</v>
      </c>
      <c r="U53" s="160">
        <v>46059</v>
      </c>
      <c r="V53" s="1" t="s">
        <v>597</v>
      </c>
      <c r="W53" s="160">
        <v>46072</v>
      </c>
      <c r="X53" s="161" t="s">
        <v>560</v>
      </c>
      <c r="Y53" s="161" t="s">
        <v>630</v>
      </c>
      <c r="Z53" s="161" t="s">
        <v>631</v>
      </c>
      <c r="AA53" s="161" t="s">
        <v>172</v>
      </c>
      <c r="AB53" s="161">
        <v>30</v>
      </c>
      <c r="AC53" s="161" t="s">
        <v>561</v>
      </c>
      <c r="AD53" s="223" t="s">
        <v>562</v>
      </c>
      <c r="AE53" s="161" t="s">
        <v>632</v>
      </c>
      <c r="AF53" s="161" t="s">
        <v>629</v>
      </c>
      <c r="AG53" s="162" t="s">
        <v>182</v>
      </c>
      <c r="AH53" s="162" t="str">
        <f t="shared" si="9"/>
        <v>Nil</v>
      </c>
      <c r="AI53" s="162" t="str">
        <f t="shared" si="20"/>
        <v>Nil</v>
      </c>
      <c r="AJ53" s="162" t="str">
        <f t="shared" si="21"/>
        <v>Nil</v>
      </c>
      <c r="AK53" s="162" t="str">
        <f t="shared" si="22"/>
        <v>Nil</v>
      </c>
      <c r="AL53" s="162" t="str">
        <f t="shared" si="23"/>
        <v>Nil</v>
      </c>
      <c r="AM53" s="162" t="str">
        <f t="shared" si="24"/>
        <v>Nil</v>
      </c>
      <c r="AN53" s="162" t="str">
        <f t="shared" si="25"/>
        <v>Nil</v>
      </c>
      <c r="AO53" s="162" t="str">
        <f t="shared" si="26"/>
        <v>Nil</v>
      </c>
      <c r="AP53" s="163"/>
      <c r="AQ53" s="178"/>
      <c r="AR53" s="163"/>
      <c r="AS53" s="170"/>
      <c r="AT53" s="158">
        <f t="shared" si="37"/>
        <v>740.09376999999995</v>
      </c>
      <c r="AU53" s="156">
        <v>967</v>
      </c>
      <c r="AV53" s="1" t="s">
        <v>46</v>
      </c>
      <c r="AW53" s="158">
        <f t="shared" si="38"/>
        <v>138.89004501561067</v>
      </c>
      <c r="AX53" s="1" t="s">
        <v>54</v>
      </c>
      <c r="AY53" s="1" t="str">
        <f t="shared" si="10"/>
        <v>Agreement Done</v>
      </c>
      <c r="AZ53" s="179"/>
      <c r="BA53" s="179"/>
      <c r="BB53" s="222" t="str">
        <f t="shared" si="11"/>
        <v>SendMessage</v>
      </c>
      <c r="BC53" s="1"/>
    </row>
    <row r="54" spans="1:56">
      <c r="A54" s="157">
        <v>1603</v>
      </c>
      <c r="B54" s="1" t="s">
        <v>1013</v>
      </c>
      <c r="C54" s="1" t="s">
        <v>1</v>
      </c>
      <c r="D54" s="155" t="s">
        <v>178</v>
      </c>
      <c r="E54" s="217">
        <v>1630</v>
      </c>
      <c r="F54" s="218">
        <f>(((E54*K54)+G54)+((E54*K54)+G54)*5/100)+J54</f>
        <v>11970260.75</v>
      </c>
      <c r="G54" s="218">
        <v>200000</v>
      </c>
      <c r="H54" s="218">
        <f>'1603'!E19</f>
        <v>200000</v>
      </c>
      <c r="I54" s="218">
        <f t="shared" si="34"/>
        <v>11770260.75</v>
      </c>
      <c r="J54" s="233">
        <f>(((K54*E54)+G54)*0.7)/100</f>
        <v>79273.249999999985</v>
      </c>
      <c r="K54" s="159">
        <v>6825</v>
      </c>
      <c r="L54" s="218">
        <f t="shared" si="35"/>
        <v>1.6708073798643024</v>
      </c>
      <c r="M54" s="218">
        <f t="shared" si="6"/>
        <v>98.3291926201357</v>
      </c>
      <c r="N54" s="218">
        <f t="shared" si="36"/>
        <v>4788104.3</v>
      </c>
      <c r="O54" s="218">
        <f t="shared" si="7"/>
        <v>4588104.3</v>
      </c>
      <c r="P54" s="33"/>
      <c r="Q54" s="1"/>
      <c r="R54" s="1" t="s">
        <v>484</v>
      </c>
      <c r="S54" s="169">
        <f>'1603'!G4</f>
        <v>11770261</v>
      </c>
      <c r="T54" s="169">
        <f>'1603'!H4</f>
        <v>0</v>
      </c>
      <c r="U54" s="160">
        <v>46023</v>
      </c>
      <c r="V54" s="1" t="s">
        <v>202</v>
      </c>
      <c r="W54" s="1" t="str">
        <f t="shared" si="8"/>
        <v>Agre not Done</v>
      </c>
      <c r="X54" s="161" t="s">
        <v>1010</v>
      </c>
      <c r="Y54" s="161" t="s">
        <v>1069</v>
      </c>
      <c r="Z54" s="161" t="s">
        <v>1011</v>
      </c>
      <c r="AA54" s="161" t="s">
        <v>1009</v>
      </c>
      <c r="AB54" s="161">
        <v>36</v>
      </c>
      <c r="AC54" s="161" t="s">
        <v>1022</v>
      </c>
      <c r="AD54" s="223" t="s">
        <v>1021</v>
      </c>
      <c r="AE54" s="161" t="s">
        <v>1019</v>
      </c>
      <c r="AF54" s="161" t="s">
        <v>1012</v>
      </c>
      <c r="AG54" s="162" t="s">
        <v>1014</v>
      </c>
      <c r="AH54" s="162" t="s">
        <v>1016</v>
      </c>
      <c r="AI54" s="162" t="s">
        <v>1017</v>
      </c>
      <c r="AJ54" s="162" t="s">
        <v>172</v>
      </c>
      <c r="AK54" s="162">
        <v>36</v>
      </c>
      <c r="AL54" s="162" t="s">
        <v>1018</v>
      </c>
      <c r="AM54" s="162" t="s">
        <v>172</v>
      </c>
      <c r="AN54" s="162" t="s">
        <v>1020</v>
      </c>
      <c r="AO54" s="162" t="s">
        <v>1015</v>
      </c>
      <c r="AP54" s="163"/>
      <c r="AQ54" s="178"/>
      <c r="AR54" s="163"/>
      <c r="AS54" s="170"/>
      <c r="AT54" s="158">
        <f t="shared" si="37"/>
        <v>806.92498000000001</v>
      </c>
      <c r="AU54" s="156">
        <v>1074</v>
      </c>
      <c r="AV54" s="1" t="s">
        <v>46</v>
      </c>
      <c r="AW54" s="158">
        <f t="shared" si="38"/>
        <v>151.43195543508054</v>
      </c>
      <c r="AX54" s="1" t="s">
        <v>54</v>
      </c>
      <c r="AY54" s="1" t="str">
        <f t="shared" si="10"/>
        <v/>
      </c>
      <c r="AZ54" s="179"/>
      <c r="BA54" s="179"/>
      <c r="BB54" s="222" t="str">
        <f t="shared" si="11"/>
        <v>SendMessage</v>
      </c>
      <c r="BC54" s="1" t="s">
        <v>318</v>
      </c>
      <c r="BD54" s="4"/>
    </row>
    <row r="55" spans="1:56" s="4" customFormat="1" ht="15" hidden="1">
      <c r="A55" s="157">
        <v>1604</v>
      </c>
      <c r="B55" s="1"/>
      <c r="C55" s="1" t="s">
        <v>1</v>
      </c>
      <c r="D55" s="155" t="s">
        <v>178</v>
      </c>
      <c r="E55" s="156">
        <v>1560</v>
      </c>
      <c r="F55" s="218">
        <f>((((E55*K55)*5)/100)+(E55*K55)+J55)</f>
        <v>0</v>
      </c>
      <c r="G55" s="218"/>
      <c r="H55" s="167"/>
      <c r="I55" s="167">
        <f t="shared" si="34"/>
        <v>0</v>
      </c>
      <c r="J55" s="233"/>
      <c r="K55" s="159"/>
      <c r="L55" s="167" t="e">
        <f t="shared" si="35"/>
        <v>#DIV/0!</v>
      </c>
      <c r="M55" s="167" t="e">
        <f t="shared" si="6"/>
        <v>#DIV/0!</v>
      </c>
      <c r="N55" s="167">
        <f t="shared" si="36"/>
        <v>0</v>
      </c>
      <c r="O55" s="167">
        <f t="shared" si="7"/>
        <v>0</v>
      </c>
      <c r="P55" s="33"/>
      <c r="Q55" s="1"/>
      <c r="R55" s="1"/>
      <c r="S55" s="169"/>
      <c r="T55" s="169"/>
      <c r="U55" s="160"/>
      <c r="V55" s="1"/>
      <c r="W55" s="1" t="str">
        <f t="shared" si="8"/>
        <v/>
      </c>
      <c r="X55" s="161" t="s">
        <v>182</v>
      </c>
      <c r="Y55" s="161" t="str">
        <f t="shared" si="12"/>
        <v>Nil</v>
      </c>
      <c r="Z55" s="161" t="str">
        <f t="shared" si="13"/>
        <v>Nil</v>
      </c>
      <c r="AA55" s="161" t="str">
        <f t="shared" si="14"/>
        <v>Nil</v>
      </c>
      <c r="AB55" s="161" t="str">
        <f t="shared" si="15"/>
        <v>Nil</v>
      </c>
      <c r="AC55" s="161" t="str">
        <f t="shared" si="16"/>
        <v>Nil</v>
      </c>
      <c r="AD55" s="161" t="str">
        <f t="shared" si="17"/>
        <v>Nil</v>
      </c>
      <c r="AE55" s="161" t="str">
        <f t="shared" si="18"/>
        <v>Nil</v>
      </c>
      <c r="AF55" s="161" t="str">
        <f t="shared" si="19"/>
        <v>Nil</v>
      </c>
      <c r="AG55" s="162" t="s">
        <v>182</v>
      </c>
      <c r="AH55" s="162" t="str">
        <f t="shared" si="9"/>
        <v>Nil</v>
      </c>
      <c r="AI55" s="162" t="str">
        <f t="shared" si="20"/>
        <v>Nil</v>
      </c>
      <c r="AJ55" s="162" t="str">
        <f t="shared" si="21"/>
        <v>Nil</v>
      </c>
      <c r="AK55" s="162" t="str">
        <f t="shared" si="22"/>
        <v>Nil</v>
      </c>
      <c r="AL55" s="162" t="str">
        <f t="shared" si="23"/>
        <v>Nil</v>
      </c>
      <c r="AM55" s="162" t="str">
        <f t="shared" si="24"/>
        <v>Nil</v>
      </c>
      <c r="AN55" s="162" t="str">
        <f t="shared" si="25"/>
        <v>Nil</v>
      </c>
      <c r="AO55" s="162" t="str">
        <f t="shared" si="26"/>
        <v>Nil</v>
      </c>
      <c r="AP55" s="163"/>
      <c r="AQ55" s="178"/>
      <c r="AR55" s="163"/>
      <c r="AS55" s="170"/>
      <c r="AT55" s="158">
        <f t="shared" si="37"/>
        <v>772.27175999999997</v>
      </c>
      <c r="AU55" s="156">
        <v>984</v>
      </c>
      <c r="AV55" s="1" t="s">
        <v>46</v>
      </c>
      <c r="AW55" s="158">
        <f t="shared" si="38"/>
        <v>144.92874262498506</v>
      </c>
      <c r="AX55" s="1" t="s">
        <v>54</v>
      </c>
      <c r="AY55" s="1" t="str">
        <f t="shared" si="10"/>
        <v>Agreement Done</v>
      </c>
      <c r="AZ55" s="179"/>
      <c r="BA55" s="179"/>
      <c r="BB55" s="222" t="str">
        <f t="shared" si="11"/>
        <v>SendMessage</v>
      </c>
      <c r="BC55" s="1"/>
    </row>
    <row r="56" spans="1:56">
      <c r="A56" s="157">
        <v>1605</v>
      </c>
      <c r="B56" s="1" t="s">
        <v>266</v>
      </c>
      <c r="C56" s="1" t="s">
        <v>1</v>
      </c>
      <c r="D56" s="155" t="s">
        <v>178</v>
      </c>
      <c r="E56" s="217">
        <v>1510</v>
      </c>
      <c r="F56" s="218">
        <f>((((E56*K56)*5)/100)+(E56*K56)+J56)</f>
        <v>9592275</v>
      </c>
      <c r="G56" s="218"/>
      <c r="H56" s="218">
        <f>'1605'!E19</f>
        <v>3457910</v>
      </c>
      <c r="I56" s="218">
        <f t="shared" si="34"/>
        <v>6134365</v>
      </c>
      <c r="J56" s="233"/>
      <c r="K56" s="159">
        <v>6050</v>
      </c>
      <c r="L56" s="218">
        <f t="shared" si="35"/>
        <v>36.048903935719103</v>
      </c>
      <c r="M56" s="218">
        <f t="shared" si="6"/>
        <v>63.951096064280897</v>
      </c>
      <c r="N56" s="218">
        <f t="shared" si="36"/>
        <v>3836910</v>
      </c>
      <c r="O56" s="218">
        <f t="shared" si="7"/>
        <v>379000</v>
      </c>
      <c r="P56" s="33" t="s">
        <v>656</v>
      </c>
      <c r="Q56" s="1" t="s">
        <v>841</v>
      </c>
      <c r="R56" s="1" t="s">
        <v>484</v>
      </c>
      <c r="S56" s="169">
        <f>'1605'!G4</f>
        <v>750821</v>
      </c>
      <c r="T56" s="169">
        <f>'1605'!H4</f>
        <v>5383544</v>
      </c>
      <c r="U56" s="160">
        <v>46036</v>
      </c>
      <c r="V56" s="1" t="s">
        <v>267</v>
      </c>
      <c r="W56" s="160">
        <v>46065</v>
      </c>
      <c r="X56" s="161" t="s">
        <v>268</v>
      </c>
      <c r="Y56" s="161" t="s">
        <v>269</v>
      </c>
      <c r="Z56" s="161" t="s">
        <v>634</v>
      </c>
      <c r="AA56" s="161" t="s">
        <v>270</v>
      </c>
      <c r="AB56" s="161">
        <v>29</v>
      </c>
      <c r="AC56" s="161" t="s">
        <v>272</v>
      </c>
      <c r="AD56" s="223" t="s">
        <v>466</v>
      </c>
      <c r="AE56" s="161" t="s">
        <v>271</v>
      </c>
      <c r="AF56" s="161" t="s">
        <v>633</v>
      </c>
      <c r="AG56" s="162" t="s">
        <v>274</v>
      </c>
      <c r="AH56" s="162" t="s">
        <v>635</v>
      </c>
      <c r="AI56" s="162" t="s">
        <v>636</v>
      </c>
      <c r="AJ56" s="162" t="s">
        <v>172</v>
      </c>
      <c r="AK56" s="162">
        <v>29</v>
      </c>
      <c r="AL56" s="162" t="str">
        <f t="shared" si="23"/>
        <v/>
      </c>
      <c r="AM56" s="162" t="str">
        <f t="shared" si="24"/>
        <v/>
      </c>
      <c r="AN56" s="162" t="s">
        <v>638</v>
      </c>
      <c r="AO56" s="162" t="s">
        <v>637</v>
      </c>
      <c r="AP56" s="163"/>
      <c r="AQ56" s="178"/>
      <c r="AR56" s="163"/>
      <c r="AS56" s="170"/>
      <c r="AT56" s="158">
        <f t="shared" si="37"/>
        <v>747.51945999999998</v>
      </c>
      <c r="AU56" s="156">
        <v>945</v>
      </c>
      <c r="AV56" s="1" t="s">
        <v>46</v>
      </c>
      <c r="AW56" s="158">
        <f t="shared" si="38"/>
        <v>140.283590617774</v>
      </c>
      <c r="AX56" s="1" t="s">
        <v>54</v>
      </c>
      <c r="AY56" s="1" t="str">
        <f t="shared" si="10"/>
        <v>Agreement Done</v>
      </c>
      <c r="AZ56" s="179"/>
      <c r="BA56" s="179"/>
      <c r="BB56" s="222" t="str">
        <f t="shared" si="11"/>
        <v>SendMessage</v>
      </c>
      <c r="BC56" s="1" t="s">
        <v>316</v>
      </c>
      <c r="BD56" s="4" t="s">
        <v>317</v>
      </c>
    </row>
    <row r="57" spans="1:56">
      <c r="A57" s="157">
        <v>1701</v>
      </c>
      <c r="B57" s="1" t="s">
        <v>319</v>
      </c>
      <c r="C57" s="1" t="s">
        <v>1</v>
      </c>
      <c r="D57" s="155" t="s">
        <v>177</v>
      </c>
      <c r="E57" s="217">
        <v>1265</v>
      </c>
      <c r="F57" s="218">
        <f>((((E57*K57)*5)/100)+(E57*K57)+J57)</f>
        <v>8633625</v>
      </c>
      <c r="G57" s="218"/>
      <c r="H57" s="218">
        <f>'1701'!E24</f>
        <v>863363</v>
      </c>
      <c r="I57" s="218">
        <f t="shared" si="34"/>
        <v>7770262</v>
      </c>
      <c r="J57" s="233"/>
      <c r="K57" s="159">
        <v>6500</v>
      </c>
      <c r="L57" s="218">
        <f t="shared" si="35"/>
        <v>10.000005791310139</v>
      </c>
      <c r="M57" s="218">
        <f t="shared" si="6"/>
        <v>89.999994208689856</v>
      </c>
      <c r="N57" s="218">
        <f t="shared" si="36"/>
        <v>3453450</v>
      </c>
      <c r="O57" s="218">
        <f t="shared" si="7"/>
        <v>2590087</v>
      </c>
      <c r="P57" s="33"/>
      <c r="Q57" s="1"/>
      <c r="R57" s="1" t="s">
        <v>484</v>
      </c>
      <c r="S57" s="169">
        <f>'1701'!G4</f>
        <v>7770262</v>
      </c>
      <c r="T57" s="169">
        <f>'1701'!H4</f>
        <v>0</v>
      </c>
      <c r="U57" s="160">
        <v>46039</v>
      </c>
      <c r="V57" s="1" t="s">
        <v>324</v>
      </c>
      <c r="W57" s="1" t="str">
        <f t="shared" si="8"/>
        <v>Agre not Done</v>
      </c>
      <c r="X57" s="161" t="s">
        <v>319</v>
      </c>
      <c r="Y57" s="161" t="s">
        <v>1068</v>
      </c>
      <c r="Z57" s="161" t="s">
        <v>172</v>
      </c>
      <c r="AA57" s="161" t="s">
        <v>1070</v>
      </c>
      <c r="AB57" s="161">
        <v>31</v>
      </c>
      <c r="AC57" s="161" t="s">
        <v>320</v>
      </c>
      <c r="AD57" s="223" t="s">
        <v>321</v>
      </c>
      <c r="AE57" s="161" t="s">
        <v>1071</v>
      </c>
      <c r="AF57" s="161" t="s">
        <v>320</v>
      </c>
      <c r="AG57" s="162" t="s">
        <v>182</v>
      </c>
      <c r="AH57" s="162" t="str">
        <f t="shared" si="9"/>
        <v>Nil</v>
      </c>
      <c r="AI57" s="162" t="str">
        <f t="shared" si="20"/>
        <v>Nil</v>
      </c>
      <c r="AJ57" s="162" t="str">
        <f t="shared" si="21"/>
        <v>Nil</v>
      </c>
      <c r="AK57" s="162" t="str">
        <f t="shared" si="22"/>
        <v>Nil</v>
      </c>
      <c r="AL57" s="162" t="str">
        <f t="shared" si="23"/>
        <v>Nil</v>
      </c>
      <c r="AM57" s="162" t="str">
        <f t="shared" si="24"/>
        <v>Nil</v>
      </c>
      <c r="AN57" s="162" t="str">
        <f t="shared" si="25"/>
        <v>Nil</v>
      </c>
      <c r="AO57" s="162" t="str">
        <f t="shared" si="26"/>
        <v>Nil</v>
      </c>
      <c r="AP57" s="163" t="s">
        <v>323</v>
      </c>
      <c r="AQ57" s="178">
        <v>46039</v>
      </c>
      <c r="AR57" s="163" t="s">
        <v>322</v>
      </c>
      <c r="AS57" s="170">
        <v>50000</v>
      </c>
      <c r="AT57" s="158">
        <f t="shared" si="37"/>
        <v>626.23319000000004</v>
      </c>
      <c r="AU57" s="156">
        <v>770</v>
      </c>
      <c r="AV57" s="1" t="s">
        <v>47</v>
      </c>
      <c r="AW57" s="158">
        <f t="shared" si="38"/>
        <v>117.5223457824398</v>
      </c>
      <c r="AX57" s="1" t="s">
        <v>54</v>
      </c>
      <c r="AY57" s="1" t="str">
        <f t="shared" si="10"/>
        <v/>
      </c>
      <c r="AZ57" s="179"/>
      <c r="BA57" s="179"/>
      <c r="BB57" s="222" t="str">
        <f t="shared" si="11"/>
        <v>SendMessage</v>
      </c>
      <c r="BC57" s="1" t="s">
        <v>315</v>
      </c>
      <c r="BD57" s="4"/>
    </row>
    <row r="58" spans="1:56" s="4" customFormat="1" ht="15" hidden="1">
      <c r="A58" s="157">
        <v>1702</v>
      </c>
      <c r="B58" s="1"/>
      <c r="C58" s="1" t="s">
        <v>1</v>
      </c>
      <c r="D58" s="155" t="s">
        <v>178</v>
      </c>
      <c r="E58" s="217">
        <v>1495</v>
      </c>
      <c r="F58" s="218">
        <f>((((E58*K58)*5)/100)+(E58*K58)+J58)</f>
        <v>0</v>
      </c>
      <c r="G58" s="218"/>
      <c r="H58" s="218">
        <f>'1702'!E19</f>
        <v>0</v>
      </c>
      <c r="I58" s="218">
        <f t="shared" si="34"/>
        <v>0</v>
      </c>
      <c r="J58" s="233"/>
      <c r="K58" s="159"/>
      <c r="L58" s="218" t="e">
        <f t="shared" si="35"/>
        <v>#DIV/0!</v>
      </c>
      <c r="M58" s="218" t="e">
        <f t="shared" si="6"/>
        <v>#DIV/0!</v>
      </c>
      <c r="N58" s="218">
        <f t="shared" si="36"/>
        <v>0</v>
      </c>
      <c r="O58" s="218">
        <f t="shared" si="7"/>
        <v>0</v>
      </c>
      <c r="P58" s="33"/>
      <c r="Q58" s="1"/>
      <c r="R58" s="1"/>
      <c r="S58" s="169">
        <f>'1702'!G4</f>
        <v>0</v>
      </c>
      <c r="T58" s="169">
        <f>'1702'!H4</f>
        <v>0</v>
      </c>
      <c r="U58" s="160"/>
      <c r="V58" s="1" t="s">
        <v>251</v>
      </c>
      <c r="W58" s="1" t="str">
        <f t="shared" si="8"/>
        <v>Agre not Done</v>
      </c>
      <c r="X58" s="161"/>
      <c r="Y58" s="161"/>
      <c r="Z58" s="161"/>
      <c r="AA58" s="161"/>
      <c r="AB58" s="161"/>
      <c r="AC58" s="161"/>
      <c r="AD58" s="223"/>
      <c r="AE58" s="161"/>
      <c r="AF58" s="161"/>
      <c r="AG58" s="162"/>
      <c r="AH58" s="162"/>
      <c r="AI58" s="162"/>
      <c r="AJ58" s="162"/>
      <c r="AK58" s="162"/>
      <c r="AL58" s="162"/>
      <c r="AM58" s="162"/>
      <c r="AN58" s="162"/>
      <c r="AO58" s="162"/>
      <c r="AP58" s="163"/>
      <c r="AQ58" s="178"/>
      <c r="AR58" s="163"/>
      <c r="AS58" s="170"/>
      <c r="AT58" s="158">
        <f t="shared" si="37"/>
        <v>740.09376999999995</v>
      </c>
      <c r="AU58" s="156">
        <v>967</v>
      </c>
      <c r="AV58" s="1" t="s">
        <v>47</v>
      </c>
      <c r="AW58" s="158">
        <f t="shared" si="38"/>
        <v>138.89004501561067</v>
      </c>
      <c r="AX58" s="1" t="s">
        <v>54</v>
      </c>
      <c r="AY58" s="1" t="str">
        <f t="shared" si="10"/>
        <v/>
      </c>
      <c r="AZ58" s="179"/>
      <c r="BA58" s="179"/>
      <c r="BB58" s="222" t="str">
        <f t="shared" si="11"/>
        <v>SendMessage</v>
      </c>
      <c r="BC58" s="1" t="s">
        <v>314</v>
      </c>
    </row>
    <row r="59" spans="1:56">
      <c r="A59" s="157">
        <v>1703</v>
      </c>
      <c r="B59" s="1" t="s">
        <v>835</v>
      </c>
      <c r="C59" s="1" t="s">
        <v>1</v>
      </c>
      <c r="D59" s="155" t="s">
        <v>178</v>
      </c>
      <c r="E59" s="217">
        <v>1630</v>
      </c>
      <c r="F59" s="218">
        <f t="shared" ref="F59:F78" si="39">((((E59*K59)*5)/100)+(E59*K59)+J59)</f>
        <v>11295900</v>
      </c>
      <c r="G59" s="218"/>
      <c r="H59" s="218">
        <f>'1703'!E19</f>
        <v>3388770</v>
      </c>
      <c r="I59" s="218">
        <f t="shared" si="34"/>
        <v>7907130</v>
      </c>
      <c r="J59" s="233"/>
      <c r="K59" s="159">
        <v>6600</v>
      </c>
      <c r="L59" s="218">
        <f t="shared" si="35"/>
        <v>30</v>
      </c>
      <c r="M59" s="218">
        <f t="shared" si="6"/>
        <v>70</v>
      </c>
      <c r="N59" s="218">
        <f t="shared" si="36"/>
        <v>4518360</v>
      </c>
      <c r="O59" s="218">
        <f t="shared" si="7"/>
        <v>1129590</v>
      </c>
      <c r="P59" s="33" t="s">
        <v>655</v>
      </c>
      <c r="Q59" s="1" t="s">
        <v>841</v>
      </c>
      <c r="R59" s="1" t="s">
        <v>484</v>
      </c>
      <c r="S59" s="169">
        <f>'1703'!G4</f>
        <v>4907130</v>
      </c>
      <c r="T59" s="169">
        <f>'1703'!H4</f>
        <v>3000000</v>
      </c>
      <c r="U59" s="160">
        <v>46045</v>
      </c>
      <c r="V59" s="1" t="s">
        <v>462</v>
      </c>
      <c r="W59" s="160">
        <v>46076</v>
      </c>
      <c r="X59" s="161" t="s">
        <v>1064</v>
      </c>
      <c r="Y59" s="161" t="s">
        <v>1072</v>
      </c>
      <c r="Z59" s="161" t="s">
        <v>172</v>
      </c>
      <c r="AA59" s="161" t="s">
        <v>1073</v>
      </c>
      <c r="AB59" s="161">
        <v>66</v>
      </c>
      <c r="AC59" s="161" t="s">
        <v>434</v>
      </c>
      <c r="AD59" s="223" t="s">
        <v>433</v>
      </c>
      <c r="AE59" s="161" t="s">
        <v>528</v>
      </c>
      <c r="AF59" s="161" t="s">
        <v>527</v>
      </c>
      <c r="AG59" s="162" t="s">
        <v>728</v>
      </c>
      <c r="AH59" s="162" t="s">
        <v>729</v>
      </c>
      <c r="AI59" s="162"/>
      <c r="AJ59" s="162" t="s">
        <v>172</v>
      </c>
      <c r="AK59" s="162">
        <v>32</v>
      </c>
      <c r="AL59" s="162" t="s">
        <v>732</v>
      </c>
      <c r="AM59" s="162" t="s">
        <v>172</v>
      </c>
      <c r="AN59" s="162" t="s">
        <v>731</v>
      </c>
      <c r="AO59" s="162" t="s">
        <v>730</v>
      </c>
      <c r="AP59" s="163"/>
      <c r="AQ59" s="178"/>
      <c r="AR59" s="163"/>
      <c r="AS59" s="170"/>
      <c r="AT59" s="158">
        <f t="shared" si="37"/>
        <v>806.92498000000001</v>
      </c>
      <c r="AU59" s="156">
        <v>1074</v>
      </c>
      <c r="AV59" s="1" t="s">
        <v>47</v>
      </c>
      <c r="AW59" s="158">
        <f t="shared" si="38"/>
        <v>151.43195543508054</v>
      </c>
      <c r="AX59" s="1" t="s">
        <v>54</v>
      </c>
      <c r="AY59" s="1" t="str">
        <f t="shared" si="10"/>
        <v>Agreement Done</v>
      </c>
      <c r="AZ59" s="179"/>
      <c r="BA59" s="179"/>
      <c r="BB59" s="222" t="str">
        <f t="shared" si="11"/>
        <v>SendMessage</v>
      </c>
      <c r="BC59" s="1"/>
      <c r="BD59" s="4"/>
    </row>
    <row r="60" spans="1:56">
      <c r="A60" s="157">
        <v>1704</v>
      </c>
      <c r="B60" s="1" t="s">
        <v>914</v>
      </c>
      <c r="C60" s="1" t="s">
        <v>1</v>
      </c>
      <c r="D60" s="155" t="s">
        <v>178</v>
      </c>
      <c r="E60" s="217">
        <v>1560</v>
      </c>
      <c r="F60" s="218">
        <f t="shared" si="39"/>
        <v>9909900</v>
      </c>
      <c r="G60" s="218"/>
      <c r="H60" s="218">
        <f>'1704'!E20</f>
        <v>3963960</v>
      </c>
      <c r="I60" s="218">
        <f t="shared" si="34"/>
        <v>5945940</v>
      </c>
      <c r="J60" s="233"/>
      <c r="K60" s="159">
        <v>6050</v>
      </c>
      <c r="L60" s="218">
        <f t="shared" si="35"/>
        <v>40</v>
      </c>
      <c r="M60" s="218">
        <f t="shared" si="6"/>
        <v>60</v>
      </c>
      <c r="N60" s="218">
        <f t="shared" si="36"/>
        <v>3963960</v>
      </c>
      <c r="O60" s="218">
        <f t="shared" si="7"/>
        <v>0</v>
      </c>
      <c r="P60" s="33" t="s">
        <v>656</v>
      </c>
      <c r="Q60" s="1" t="s">
        <v>841</v>
      </c>
      <c r="R60" s="1" t="s">
        <v>484</v>
      </c>
      <c r="S60" s="169">
        <f>'1704'!G4</f>
        <v>314405</v>
      </c>
      <c r="T60" s="169">
        <f>'1704'!H4</f>
        <v>5631535</v>
      </c>
      <c r="U60" s="160">
        <v>46035</v>
      </c>
      <c r="V60" s="1" t="s">
        <v>254</v>
      </c>
      <c r="W60" s="160">
        <v>46072</v>
      </c>
      <c r="X60" s="161" t="s">
        <v>914</v>
      </c>
      <c r="Y60" s="161" t="s">
        <v>913</v>
      </c>
      <c r="Z60" s="161" t="s">
        <v>933</v>
      </c>
      <c r="AA60" s="161" t="s">
        <v>172</v>
      </c>
      <c r="AB60" s="161">
        <v>46</v>
      </c>
      <c r="AC60" s="213" t="s">
        <v>915</v>
      </c>
      <c r="AD60" s="223" t="s">
        <v>507</v>
      </c>
      <c r="AE60" s="161" t="s">
        <v>917</v>
      </c>
      <c r="AF60" s="161" t="s">
        <v>916</v>
      </c>
      <c r="AG60" s="162" t="s">
        <v>182</v>
      </c>
      <c r="AH60" s="162" t="str">
        <f t="shared" si="9"/>
        <v>Nil</v>
      </c>
      <c r="AI60" s="162" t="str">
        <f t="shared" si="20"/>
        <v>Nil</v>
      </c>
      <c r="AJ60" s="162" t="str">
        <f t="shared" si="21"/>
        <v>Nil</v>
      </c>
      <c r="AK60" s="162" t="str">
        <f t="shared" si="22"/>
        <v>Nil</v>
      </c>
      <c r="AL60" s="162" t="str">
        <f t="shared" si="23"/>
        <v>Nil</v>
      </c>
      <c r="AM60" s="162" t="str">
        <f t="shared" si="24"/>
        <v>Nil</v>
      </c>
      <c r="AN60" s="162" t="str">
        <f t="shared" si="25"/>
        <v>Nil</v>
      </c>
      <c r="AO60" s="162" t="str">
        <f t="shared" si="26"/>
        <v>Nil</v>
      </c>
      <c r="AP60" s="163" t="s">
        <v>261</v>
      </c>
      <c r="AQ60" s="178">
        <v>46035</v>
      </c>
      <c r="AR60" s="163" t="s">
        <v>262</v>
      </c>
      <c r="AS60" s="170">
        <v>100000</v>
      </c>
      <c r="AT60" s="158">
        <f t="shared" si="37"/>
        <v>772.27175999999997</v>
      </c>
      <c r="AU60" s="156">
        <v>984</v>
      </c>
      <c r="AV60" s="1" t="s">
        <v>47</v>
      </c>
      <c r="AW60" s="158">
        <f t="shared" si="38"/>
        <v>144.92874262498506</v>
      </c>
      <c r="AX60" s="1" t="s">
        <v>54</v>
      </c>
      <c r="AY60" s="1" t="str">
        <f t="shared" si="10"/>
        <v>Agreement Done</v>
      </c>
      <c r="AZ60" s="179"/>
      <c r="BA60" s="179"/>
      <c r="BB60" s="222" t="str">
        <f t="shared" si="11"/>
        <v>SendMessage</v>
      </c>
      <c r="BC60" s="1"/>
      <c r="BD60" s="4"/>
    </row>
    <row r="61" spans="1:56" s="4" customFormat="1" ht="15">
      <c r="A61" s="157">
        <v>1705</v>
      </c>
      <c r="B61" s="1" t="s">
        <v>889</v>
      </c>
      <c r="C61" s="1" t="s">
        <v>1</v>
      </c>
      <c r="D61" s="155" t="s">
        <v>178</v>
      </c>
      <c r="E61" s="156">
        <v>1510</v>
      </c>
      <c r="F61" s="218">
        <f t="shared" si="39"/>
        <v>10933079.5</v>
      </c>
      <c r="G61" s="218">
        <v>0</v>
      </c>
      <c r="H61" s="167">
        <f>'1705'!E20</f>
        <v>1082385</v>
      </c>
      <c r="I61" s="167">
        <f t="shared" si="34"/>
        <v>9850694.5</v>
      </c>
      <c r="J61" s="233">
        <f t="shared" ref="J61" si="40">(((K61*E61)+G61)*0.7)/100</f>
        <v>72404.5</v>
      </c>
      <c r="K61" s="159">
        <v>6850</v>
      </c>
      <c r="L61" s="167">
        <f t="shared" si="35"/>
        <v>9.9000926500168589</v>
      </c>
      <c r="M61" s="167">
        <f t="shared" si="6"/>
        <v>90.099907349983141</v>
      </c>
      <c r="N61" s="167">
        <f t="shared" si="36"/>
        <v>4373231.8</v>
      </c>
      <c r="O61" s="167">
        <f t="shared" si="7"/>
        <v>3290846.8</v>
      </c>
      <c r="P61" s="33"/>
      <c r="Q61" s="1"/>
      <c r="R61" s="1"/>
      <c r="S61" s="169">
        <f>'1705'!G4</f>
        <v>9850695</v>
      </c>
      <c r="T61" s="169">
        <f>'1705'!H4</f>
        <v>0</v>
      </c>
      <c r="U61" s="160"/>
      <c r="V61" s="1"/>
      <c r="W61" s="1" t="str">
        <f t="shared" si="8"/>
        <v/>
      </c>
      <c r="X61" s="161" t="s">
        <v>890</v>
      </c>
      <c r="Y61" s="161" t="s">
        <v>892</v>
      </c>
      <c r="Z61" s="161" t="s">
        <v>975</v>
      </c>
      <c r="AA61" s="161" t="s">
        <v>172</v>
      </c>
      <c r="AB61" s="161">
        <v>44</v>
      </c>
      <c r="AC61" s="161" t="s">
        <v>894</v>
      </c>
      <c r="AD61" s="161"/>
      <c r="AE61" s="161" t="s">
        <v>896</v>
      </c>
      <c r="AF61" s="161" t="s">
        <v>895</v>
      </c>
      <c r="AG61" s="162" t="s">
        <v>891</v>
      </c>
      <c r="AH61" s="162" t="s">
        <v>897</v>
      </c>
      <c r="AI61" s="162" t="s">
        <v>893</v>
      </c>
      <c r="AJ61" s="162" t="s">
        <v>172</v>
      </c>
      <c r="AK61" s="162">
        <v>37</v>
      </c>
      <c r="AL61" s="162" t="s">
        <v>900</v>
      </c>
      <c r="AM61" s="162"/>
      <c r="AN61" s="162" t="s">
        <v>899</v>
      </c>
      <c r="AO61" s="162" t="s">
        <v>898</v>
      </c>
      <c r="AP61" s="163"/>
      <c r="AQ61" s="178"/>
      <c r="AR61" s="163"/>
      <c r="AS61" s="170"/>
      <c r="AT61" s="158">
        <f t="shared" si="37"/>
        <v>747.51945999999998</v>
      </c>
      <c r="AU61" s="156">
        <v>945</v>
      </c>
      <c r="AV61" s="1" t="s">
        <v>47</v>
      </c>
      <c r="AW61" s="158">
        <f t="shared" si="38"/>
        <v>140.283590617774</v>
      </c>
      <c r="AX61" s="1" t="s">
        <v>54</v>
      </c>
      <c r="AY61" s="1" t="str">
        <f t="shared" si="10"/>
        <v>Agreement Done</v>
      </c>
      <c r="AZ61" s="179"/>
      <c r="BA61" s="179"/>
      <c r="BB61" s="222" t="str">
        <f t="shared" si="11"/>
        <v>SendMessage</v>
      </c>
      <c r="BC61" s="1"/>
    </row>
    <row r="62" spans="1:56">
      <c r="A62" s="157">
        <v>2001</v>
      </c>
      <c r="B62" s="1" t="s">
        <v>922</v>
      </c>
      <c r="C62" s="1" t="s">
        <v>1</v>
      </c>
      <c r="D62" s="155" t="s">
        <v>177</v>
      </c>
      <c r="E62" s="217">
        <v>1265</v>
      </c>
      <c r="F62" s="218">
        <f t="shared" si="39"/>
        <v>8035912.5</v>
      </c>
      <c r="G62" s="218"/>
      <c r="H62" s="218">
        <f>'2001'!E19</f>
        <v>501795</v>
      </c>
      <c r="I62" s="218">
        <f t="shared" si="34"/>
        <v>7534117.5</v>
      </c>
      <c r="J62" s="232"/>
      <c r="K62" s="159">
        <v>6050</v>
      </c>
      <c r="L62" s="218">
        <f t="shared" si="35"/>
        <v>6.2444059713193747</v>
      </c>
      <c r="M62" s="218">
        <f t="shared" si="6"/>
        <v>93.755594028680619</v>
      </c>
      <c r="N62" s="218">
        <f t="shared" si="36"/>
        <v>3214365</v>
      </c>
      <c r="O62" s="218">
        <f t="shared" si="7"/>
        <v>2712570</v>
      </c>
      <c r="P62" s="33" t="s">
        <v>846</v>
      </c>
      <c r="Q62" s="1"/>
      <c r="R62" s="1" t="s">
        <v>484</v>
      </c>
      <c r="S62" s="169">
        <f>'2001'!G4</f>
        <v>534118</v>
      </c>
      <c r="T62" s="169">
        <f>'2001'!H4</f>
        <v>7000000</v>
      </c>
      <c r="U62" s="160">
        <v>46035</v>
      </c>
      <c r="V62" s="1" t="s">
        <v>255</v>
      </c>
      <c r="W62" s="1" t="str">
        <f t="shared" si="8"/>
        <v>Agre not Done</v>
      </c>
      <c r="X62" s="161" t="s">
        <v>923</v>
      </c>
      <c r="Y62" s="161" t="s">
        <v>921</v>
      </c>
      <c r="Z62" s="161" t="s">
        <v>920</v>
      </c>
      <c r="AA62" s="161" t="s">
        <v>172</v>
      </c>
      <c r="AB62" s="161">
        <v>37</v>
      </c>
      <c r="AC62" s="213" t="s">
        <v>912</v>
      </c>
      <c r="AD62" s="223" t="s">
        <v>507</v>
      </c>
      <c r="AE62" s="161" t="s">
        <v>919</v>
      </c>
      <c r="AF62" s="161" t="s">
        <v>918</v>
      </c>
      <c r="AG62" s="162" t="s">
        <v>924</v>
      </c>
      <c r="AH62" s="162" t="s">
        <v>925</v>
      </c>
      <c r="AI62" s="162" t="s">
        <v>920</v>
      </c>
      <c r="AJ62" s="162" t="s">
        <v>172</v>
      </c>
      <c r="AK62" s="162">
        <v>40</v>
      </c>
      <c r="AL62" s="162" t="s">
        <v>976</v>
      </c>
      <c r="AM62" s="162" t="s">
        <v>172</v>
      </c>
      <c r="AN62" s="162" t="s">
        <v>927</v>
      </c>
      <c r="AO62" s="162" t="s">
        <v>926</v>
      </c>
      <c r="AP62" s="163" t="s">
        <v>263</v>
      </c>
      <c r="AQ62" s="178">
        <v>46035</v>
      </c>
      <c r="AR62" s="163" t="s">
        <v>264</v>
      </c>
      <c r="AS62" s="170">
        <v>100000</v>
      </c>
      <c r="AT62" s="158">
        <f t="shared" si="37"/>
        <v>626.23319000000004</v>
      </c>
      <c r="AU62" s="156">
        <v>770</v>
      </c>
      <c r="AV62" s="1" t="s">
        <v>48</v>
      </c>
      <c r="AW62" s="158">
        <f t="shared" si="38"/>
        <v>117.5223457824398</v>
      </c>
      <c r="AX62" s="1" t="s">
        <v>54</v>
      </c>
      <c r="AY62" s="1" t="str">
        <f t="shared" si="10"/>
        <v/>
      </c>
      <c r="AZ62" s="179"/>
      <c r="BA62" s="179"/>
      <c r="BB62" s="222" t="str">
        <f t="shared" si="11"/>
        <v>SendMessage</v>
      </c>
      <c r="BC62" s="1"/>
      <c r="BD62" s="4"/>
    </row>
    <row r="63" spans="1:56" s="4" customFormat="1" ht="15" hidden="1">
      <c r="A63" s="216">
        <v>2002</v>
      </c>
      <c r="B63" s="1"/>
      <c r="C63" s="1" t="s">
        <v>1</v>
      </c>
      <c r="D63" s="155" t="s">
        <v>178</v>
      </c>
      <c r="E63" s="156">
        <v>1495</v>
      </c>
      <c r="F63" s="218">
        <f t="shared" si="39"/>
        <v>0</v>
      </c>
      <c r="G63" s="218"/>
      <c r="H63" s="167">
        <f>'2002'!E19</f>
        <v>0</v>
      </c>
      <c r="I63" s="167">
        <f t="shared" si="34"/>
        <v>0</v>
      </c>
      <c r="J63" s="233"/>
      <c r="K63" s="159"/>
      <c r="L63" s="167" t="e">
        <f t="shared" si="35"/>
        <v>#DIV/0!</v>
      </c>
      <c r="M63" s="167" t="e">
        <f t="shared" si="6"/>
        <v>#DIV/0!</v>
      </c>
      <c r="N63" s="167">
        <f t="shared" si="36"/>
        <v>0</v>
      </c>
      <c r="O63" s="167">
        <f t="shared" si="7"/>
        <v>0</v>
      </c>
      <c r="P63" s="33"/>
      <c r="Q63" s="1"/>
      <c r="R63" s="1"/>
      <c r="S63" s="169">
        <f>'2002'!G4</f>
        <v>0</v>
      </c>
      <c r="T63" s="169">
        <f>'2002'!H4</f>
        <v>0</v>
      </c>
      <c r="U63" s="160"/>
      <c r="V63" s="1"/>
      <c r="W63" s="1"/>
      <c r="X63" s="161" t="s">
        <v>182</v>
      </c>
      <c r="Y63" s="161" t="str">
        <f>IF(X63="Nil","Nil","")</f>
        <v>Nil</v>
      </c>
      <c r="Z63" s="161" t="str">
        <f>IF(X63="Nil","Nil","")</f>
        <v>Nil</v>
      </c>
      <c r="AA63" s="161" t="str">
        <f>IF(X63="Nil","Nil","")</f>
        <v>Nil</v>
      </c>
      <c r="AB63" s="161" t="str">
        <f>IF(X63="Nil","Nil","")</f>
        <v>Nil</v>
      </c>
      <c r="AC63" s="161" t="str">
        <f>IF(X63="Nil","Nil","")</f>
        <v>Nil</v>
      </c>
      <c r="AD63" s="161" t="str">
        <f>IF(X63="Nil","Nil","")</f>
        <v>Nil</v>
      </c>
      <c r="AE63" s="161" t="str">
        <f>IF(X63="Nil","Nil","")</f>
        <v>Nil</v>
      </c>
      <c r="AF63" s="161" t="str">
        <f>IF(X63="Nil","Nil","")</f>
        <v>Nil</v>
      </c>
      <c r="AG63" s="162" t="s">
        <v>182</v>
      </c>
      <c r="AH63" s="162" t="str">
        <f t="shared" si="9"/>
        <v>Nil</v>
      </c>
      <c r="AI63" s="162" t="str">
        <f t="shared" si="20"/>
        <v>Nil</v>
      </c>
      <c r="AJ63" s="162" t="str">
        <f t="shared" si="21"/>
        <v>Nil</v>
      </c>
      <c r="AK63" s="162" t="str">
        <f t="shared" si="22"/>
        <v>Nil</v>
      </c>
      <c r="AL63" s="162" t="str">
        <f t="shared" si="23"/>
        <v>Nil</v>
      </c>
      <c r="AM63" s="162" t="str">
        <f t="shared" si="24"/>
        <v>Nil</v>
      </c>
      <c r="AN63" s="162" t="str">
        <f t="shared" si="25"/>
        <v>Nil</v>
      </c>
      <c r="AO63" s="162" t="str">
        <f t="shared" si="26"/>
        <v>Nil</v>
      </c>
      <c r="AP63" s="163"/>
      <c r="AQ63" s="178"/>
      <c r="AR63" s="163"/>
      <c r="AS63" s="170"/>
      <c r="AT63" s="158">
        <f t="shared" si="37"/>
        <v>740.09376999999995</v>
      </c>
      <c r="AU63" s="156">
        <v>967</v>
      </c>
      <c r="AV63" s="1" t="s">
        <v>48</v>
      </c>
      <c r="AW63" s="158">
        <f t="shared" si="38"/>
        <v>138.89004501561067</v>
      </c>
      <c r="AX63" s="1" t="s">
        <v>54</v>
      </c>
      <c r="AY63" s="1" t="str">
        <f t="shared" si="10"/>
        <v>Agreement Done</v>
      </c>
      <c r="AZ63" s="179"/>
      <c r="BA63" s="179"/>
      <c r="BB63" s="222" t="str">
        <f t="shared" si="11"/>
        <v>SendMessage</v>
      </c>
      <c r="BC63" s="1"/>
    </row>
    <row r="64" spans="1:56">
      <c r="A64" s="216">
        <v>2003</v>
      </c>
      <c r="B64" s="1" t="s">
        <v>668</v>
      </c>
      <c r="C64" s="1" t="s">
        <v>1</v>
      </c>
      <c r="D64" s="155" t="s">
        <v>178</v>
      </c>
      <c r="E64" s="217">
        <v>1630</v>
      </c>
      <c r="F64" s="218">
        <f t="shared" si="39"/>
        <v>10354575</v>
      </c>
      <c r="G64" s="218"/>
      <c r="H64" s="218">
        <f>'2003'!E20</f>
        <v>4141830</v>
      </c>
      <c r="I64" s="218">
        <f t="shared" si="34"/>
        <v>6212745</v>
      </c>
      <c r="J64" s="232"/>
      <c r="K64" s="159">
        <v>6050</v>
      </c>
      <c r="L64" s="218">
        <f t="shared" si="35"/>
        <v>40</v>
      </c>
      <c r="M64" s="218">
        <f t="shared" si="6"/>
        <v>60</v>
      </c>
      <c r="N64" s="218">
        <f t="shared" si="36"/>
        <v>4141830</v>
      </c>
      <c r="O64" s="218">
        <f t="shared" si="7"/>
        <v>0</v>
      </c>
      <c r="P64" s="33" t="s">
        <v>656</v>
      </c>
      <c r="Q64" s="1" t="s">
        <v>841</v>
      </c>
      <c r="R64" s="1" t="s">
        <v>484</v>
      </c>
      <c r="S64" s="169">
        <f>'2003'!G4</f>
        <v>536847</v>
      </c>
      <c r="T64" s="169">
        <f>'2003'!H4</f>
        <v>5675898</v>
      </c>
      <c r="U64" s="160">
        <v>46035</v>
      </c>
      <c r="V64" s="1" t="s">
        <v>253</v>
      </c>
      <c r="W64" s="160">
        <v>46067</v>
      </c>
      <c r="X64" s="161" t="s">
        <v>625</v>
      </c>
      <c r="Y64" s="161" t="s">
        <v>227</v>
      </c>
      <c r="Z64" s="161" t="s">
        <v>626</v>
      </c>
      <c r="AA64" s="161" t="s">
        <v>228</v>
      </c>
      <c r="AB64" s="161">
        <v>41</v>
      </c>
      <c r="AC64" s="161" t="s">
        <v>229</v>
      </c>
      <c r="AD64" s="223" t="s">
        <v>230</v>
      </c>
      <c r="AE64" s="161" t="s">
        <v>231</v>
      </c>
      <c r="AF64" s="161" t="s">
        <v>232</v>
      </c>
      <c r="AG64" s="162" t="s">
        <v>684</v>
      </c>
      <c r="AH64" s="162" t="s">
        <v>1065</v>
      </c>
      <c r="AI64" s="162" t="s">
        <v>685</v>
      </c>
      <c r="AJ64" s="162" t="s">
        <v>172</v>
      </c>
      <c r="AK64" s="162">
        <v>41</v>
      </c>
      <c r="AL64" s="162"/>
      <c r="AM64" s="162"/>
      <c r="AN64" s="162"/>
      <c r="AO64" s="162"/>
      <c r="AP64" s="163" t="s">
        <v>265</v>
      </c>
      <c r="AQ64" s="178">
        <v>46035</v>
      </c>
      <c r="AR64" s="163" t="s">
        <v>258</v>
      </c>
      <c r="AS64" s="170">
        <v>200000</v>
      </c>
      <c r="AT64" s="158">
        <f t="shared" si="37"/>
        <v>806.92498000000001</v>
      </c>
      <c r="AU64" s="156">
        <v>1074</v>
      </c>
      <c r="AV64" s="1" t="s">
        <v>48</v>
      </c>
      <c r="AW64" s="158">
        <f t="shared" si="38"/>
        <v>151.43195543508054</v>
      </c>
      <c r="AX64" s="1" t="s">
        <v>54</v>
      </c>
      <c r="AY64" s="1" t="str">
        <f t="shared" si="10"/>
        <v>Agreement Done</v>
      </c>
      <c r="AZ64" s="179"/>
      <c r="BA64" s="179"/>
      <c r="BB64" s="222" t="str">
        <f t="shared" si="11"/>
        <v>SendMessage</v>
      </c>
      <c r="BC64" s="1" t="s">
        <v>315</v>
      </c>
      <c r="BD64" s="4"/>
    </row>
    <row r="65" spans="1:56">
      <c r="A65" s="216">
        <v>2004</v>
      </c>
      <c r="B65" s="1" t="s">
        <v>205</v>
      </c>
      <c r="C65" s="1" t="s">
        <v>1</v>
      </c>
      <c r="D65" s="155" t="s">
        <v>178</v>
      </c>
      <c r="E65" s="217">
        <v>1560</v>
      </c>
      <c r="F65" s="218">
        <f t="shared" si="39"/>
        <v>9909900</v>
      </c>
      <c r="G65" s="218"/>
      <c r="H65" s="218">
        <f>'2004'!E19</f>
        <v>3308064</v>
      </c>
      <c r="I65" s="218">
        <f t="shared" si="34"/>
        <v>6601836</v>
      </c>
      <c r="J65" s="232"/>
      <c r="K65" s="159">
        <v>6050</v>
      </c>
      <c r="L65" s="218">
        <f t="shared" si="35"/>
        <v>33.381406472315561</v>
      </c>
      <c r="M65" s="218">
        <f t="shared" si="6"/>
        <v>66.618593527684439</v>
      </c>
      <c r="N65" s="218">
        <f t="shared" si="36"/>
        <v>3963960</v>
      </c>
      <c r="O65" s="218">
        <f t="shared" si="7"/>
        <v>655896</v>
      </c>
      <c r="P65" s="33" t="s">
        <v>656</v>
      </c>
      <c r="Q65" s="1" t="s">
        <v>841</v>
      </c>
      <c r="R65" s="1" t="s">
        <v>484</v>
      </c>
      <c r="S65" s="169">
        <f>'2004'!G4</f>
        <v>414405</v>
      </c>
      <c r="T65" s="169">
        <f>'2004'!H4</f>
        <v>6187431</v>
      </c>
      <c r="U65" s="160">
        <v>46027</v>
      </c>
      <c r="V65" s="1" t="s">
        <v>215</v>
      </c>
      <c r="W65" s="160">
        <v>46067</v>
      </c>
      <c r="X65" s="161" t="s">
        <v>205</v>
      </c>
      <c r="Y65" s="161" t="s">
        <v>207</v>
      </c>
      <c r="Z65" s="161" t="s">
        <v>208</v>
      </c>
      <c r="AA65" s="161" t="s">
        <v>172</v>
      </c>
      <c r="AB65" s="161">
        <v>40</v>
      </c>
      <c r="AC65" s="161" t="s">
        <v>210</v>
      </c>
      <c r="AD65" s="223" t="s">
        <v>211</v>
      </c>
      <c r="AE65" s="161" t="s">
        <v>209</v>
      </c>
      <c r="AF65" s="161" t="s">
        <v>206</v>
      </c>
      <c r="AG65" s="162" t="s">
        <v>182</v>
      </c>
      <c r="AH65" s="162" t="str">
        <f t="shared" si="9"/>
        <v>Nil</v>
      </c>
      <c r="AI65" s="162" t="str">
        <f t="shared" si="20"/>
        <v>Nil</v>
      </c>
      <c r="AJ65" s="162" t="str">
        <f t="shared" si="21"/>
        <v>Nil</v>
      </c>
      <c r="AK65" s="162" t="str">
        <f t="shared" si="22"/>
        <v>Nil</v>
      </c>
      <c r="AL65" s="162" t="str">
        <f t="shared" si="23"/>
        <v>Nil</v>
      </c>
      <c r="AM65" s="162" t="str">
        <f t="shared" si="24"/>
        <v>Nil</v>
      </c>
      <c r="AN65" s="162" t="str">
        <f t="shared" si="25"/>
        <v>Nil</v>
      </c>
      <c r="AO65" s="162" t="str">
        <f t="shared" si="26"/>
        <v>Nil</v>
      </c>
      <c r="AP65" s="163" t="s">
        <v>213</v>
      </c>
      <c r="AQ65" s="178">
        <v>46027</v>
      </c>
      <c r="AR65" s="163" t="s">
        <v>214</v>
      </c>
      <c r="AS65" s="170">
        <v>200000</v>
      </c>
      <c r="AT65" s="158">
        <f t="shared" si="37"/>
        <v>772.27175999999997</v>
      </c>
      <c r="AU65" s="156">
        <v>984</v>
      </c>
      <c r="AV65" s="1" t="s">
        <v>48</v>
      </c>
      <c r="AW65" s="158">
        <f t="shared" si="38"/>
        <v>144.92874262498506</v>
      </c>
      <c r="AX65" s="1" t="s">
        <v>54</v>
      </c>
      <c r="AY65" s="1" t="str">
        <f t="shared" si="10"/>
        <v>Agreement Done</v>
      </c>
      <c r="AZ65" s="179"/>
      <c r="BA65" s="179"/>
      <c r="BB65" s="222" t="str">
        <f t="shared" si="11"/>
        <v>SendMessage</v>
      </c>
      <c r="BC65" s="1" t="s">
        <v>315</v>
      </c>
      <c r="BD65" s="4"/>
    </row>
    <row r="66" spans="1:56">
      <c r="A66" s="157">
        <v>2005</v>
      </c>
      <c r="B66" s="1" t="s">
        <v>847</v>
      </c>
      <c r="C66" s="1" t="s">
        <v>1</v>
      </c>
      <c r="D66" s="155" t="s">
        <v>178</v>
      </c>
      <c r="E66" s="217">
        <v>1510</v>
      </c>
      <c r="F66" s="218">
        <f t="shared" si="39"/>
        <v>10305750</v>
      </c>
      <c r="G66" s="218"/>
      <c r="H66" s="218">
        <f>'2005'!E19</f>
        <v>4122300</v>
      </c>
      <c r="I66" s="218">
        <f t="shared" ref="I66:I78" si="41">F66-H66</f>
        <v>6183450</v>
      </c>
      <c r="J66" s="232"/>
      <c r="K66" s="159">
        <v>6500</v>
      </c>
      <c r="L66" s="218">
        <f t="shared" ref="L66:L78" si="42">(H66/F66)*100</f>
        <v>40</v>
      </c>
      <c r="M66" s="218">
        <f t="shared" si="6"/>
        <v>60</v>
      </c>
      <c r="N66" s="218">
        <f t="shared" ref="N66:N78" si="43">F66*$N$1</f>
        <v>4122300</v>
      </c>
      <c r="O66" s="218">
        <f t="shared" si="7"/>
        <v>0</v>
      </c>
      <c r="P66" s="33" t="s">
        <v>656</v>
      </c>
      <c r="Q66" s="1" t="s">
        <v>977</v>
      </c>
      <c r="R66" s="1" t="s">
        <v>484</v>
      </c>
      <c r="S66" s="169">
        <f>'2005'!G4</f>
        <v>-255400</v>
      </c>
      <c r="T66" s="169">
        <f>'2005'!H4</f>
        <v>6438850</v>
      </c>
      <c r="U66" s="160">
        <v>46048</v>
      </c>
      <c r="V66" s="1" t="s">
        <v>483</v>
      </c>
      <c r="W66" s="160">
        <v>46078</v>
      </c>
      <c r="X66" s="161" t="s">
        <v>472</v>
      </c>
      <c r="Y66" s="161"/>
      <c r="Z66" s="161"/>
      <c r="AA66" s="161"/>
      <c r="AB66" s="161"/>
      <c r="AC66" s="161" t="s">
        <v>651</v>
      </c>
      <c r="AD66" s="223" t="s">
        <v>475</v>
      </c>
      <c r="AE66" s="161"/>
      <c r="AF66" s="161"/>
      <c r="AG66" s="162" t="s">
        <v>473</v>
      </c>
      <c r="AH66" s="162"/>
      <c r="AI66" s="162"/>
      <c r="AJ66" s="162"/>
      <c r="AK66" s="162"/>
      <c r="AL66" s="162" t="s">
        <v>474</v>
      </c>
      <c r="AM66" s="162"/>
      <c r="AN66" s="162"/>
      <c r="AO66" s="162"/>
      <c r="AP66" s="163"/>
      <c r="AQ66" s="178"/>
      <c r="AR66" s="163"/>
      <c r="AS66" s="170"/>
      <c r="AT66" s="158">
        <f t="shared" ref="AT66:AT78" si="44">E66*0.495046</f>
        <v>747.51945999999998</v>
      </c>
      <c r="AU66" s="156">
        <v>945</v>
      </c>
      <c r="AV66" s="1" t="s">
        <v>48</v>
      </c>
      <c r="AW66" s="158">
        <f t="shared" ref="AW66:AW78" si="45">E66/10.7639104</f>
        <v>140.283590617774</v>
      </c>
      <c r="AX66" s="1" t="s">
        <v>54</v>
      </c>
      <c r="AY66" s="1" t="str">
        <f t="shared" si="10"/>
        <v>Agreement Done</v>
      </c>
      <c r="AZ66" s="179"/>
      <c r="BA66" s="179"/>
      <c r="BB66" s="222" t="str">
        <f t="shared" si="11"/>
        <v>SendMessage</v>
      </c>
      <c r="BC66" s="1"/>
      <c r="BD66" s="4"/>
    </row>
    <row r="67" spans="1:56" s="4" customFormat="1" ht="15" hidden="1">
      <c r="A67" s="157">
        <v>2102</v>
      </c>
      <c r="B67" s="1"/>
      <c r="C67" s="1" t="s">
        <v>1</v>
      </c>
      <c r="D67" s="155" t="s">
        <v>178</v>
      </c>
      <c r="E67" s="156">
        <v>1495</v>
      </c>
      <c r="F67" s="218">
        <f t="shared" si="39"/>
        <v>0</v>
      </c>
      <c r="G67" s="218"/>
      <c r="H67" s="167"/>
      <c r="I67" s="167">
        <f t="shared" si="41"/>
        <v>0</v>
      </c>
      <c r="J67" s="233"/>
      <c r="K67" s="159"/>
      <c r="L67" s="167" t="e">
        <f t="shared" si="42"/>
        <v>#DIV/0!</v>
      </c>
      <c r="M67" s="167" t="e">
        <f t="shared" ref="M67:M78" si="46">100-L67</f>
        <v>#DIV/0!</v>
      </c>
      <c r="N67" s="167">
        <f t="shared" si="43"/>
        <v>0</v>
      </c>
      <c r="O67" s="167">
        <f t="shared" ref="O67:O78" si="47">IF((N67-H67)&lt;0,0,(N67-H67))</f>
        <v>0</v>
      </c>
      <c r="P67" s="33"/>
      <c r="Q67" s="1"/>
      <c r="R67" s="1"/>
      <c r="S67" s="169"/>
      <c r="T67" s="169"/>
      <c r="U67" s="160"/>
      <c r="V67" s="1"/>
      <c r="W67" s="1" t="str">
        <f t="shared" ref="W67:W78" si="48">IF(V67="","","Agre not Done")</f>
        <v/>
      </c>
      <c r="X67" s="161" t="s">
        <v>182</v>
      </c>
      <c r="Y67" s="161" t="str">
        <f t="shared" si="12"/>
        <v>Nil</v>
      </c>
      <c r="Z67" s="161" t="str">
        <f t="shared" si="13"/>
        <v>Nil</v>
      </c>
      <c r="AA67" s="161" t="str">
        <f t="shared" si="14"/>
        <v>Nil</v>
      </c>
      <c r="AB67" s="161" t="str">
        <f t="shared" si="15"/>
        <v>Nil</v>
      </c>
      <c r="AC67" s="161" t="str">
        <f t="shared" si="16"/>
        <v>Nil</v>
      </c>
      <c r="AD67" s="161" t="str">
        <f t="shared" si="17"/>
        <v>Nil</v>
      </c>
      <c r="AE67" s="161" t="str">
        <f t="shared" si="18"/>
        <v>Nil</v>
      </c>
      <c r="AF67" s="161" t="str">
        <f t="shared" si="19"/>
        <v>Nil</v>
      </c>
      <c r="AG67" s="162" t="s">
        <v>182</v>
      </c>
      <c r="AH67" s="162" t="str">
        <f t="shared" ref="AH67:AH78" si="49">IF(AG67="Nil","Nil","")</f>
        <v>Nil</v>
      </c>
      <c r="AI67" s="162" t="str">
        <f t="shared" si="20"/>
        <v>Nil</v>
      </c>
      <c r="AJ67" s="162" t="str">
        <f t="shared" si="21"/>
        <v>Nil</v>
      </c>
      <c r="AK67" s="162" t="str">
        <f t="shared" si="22"/>
        <v>Nil</v>
      </c>
      <c r="AL67" s="162" t="str">
        <f t="shared" si="23"/>
        <v>Nil</v>
      </c>
      <c r="AM67" s="162" t="str">
        <f t="shared" si="24"/>
        <v>Nil</v>
      </c>
      <c r="AN67" s="162" t="str">
        <f t="shared" si="25"/>
        <v>Nil</v>
      </c>
      <c r="AO67" s="162" t="str">
        <f t="shared" si="26"/>
        <v>Nil</v>
      </c>
      <c r="AP67" s="163"/>
      <c r="AQ67" s="178"/>
      <c r="AR67" s="163"/>
      <c r="AS67" s="170"/>
      <c r="AT67" s="158">
        <f t="shared" si="44"/>
        <v>740.09376999999995</v>
      </c>
      <c r="AU67" s="156">
        <v>967</v>
      </c>
      <c r="AV67" s="1" t="s">
        <v>49</v>
      </c>
      <c r="AW67" s="158">
        <f t="shared" si="45"/>
        <v>138.89004501561067</v>
      </c>
      <c r="AX67" s="1" t="s">
        <v>54</v>
      </c>
      <c r="AY67" s="1" t="str">
        <f t="shared" ref="AY67:AY78" si="50">IF(W67="Agre not done","","Agreement Done")</f>
        <v>Agreement Done</v>
      </c>
      <c r="AZ67" s="179"/>
      <c r="BA67" s="179"/>
      <c r="BB67" s="222" t="str">
        <f t="shared" ref="BB67:BB78" si="51">HYPERLINK("https://web.whatsapp.com/send?phone="&amp;AC67&amp;"Hi, This is from RRL Builders","SendMessage")</f>
        <v>SendMessage</v>
      </c>
      <c r="BC67" s="1"/>
    </row>
    <row r="68" spans="1:56">
      <c r="A68" s="157">
        <v>2103</v>
      </c>
      <c r="B68" s="1" t="s">
        <v>677</v>
      </c>
      <c r="C68" s="1" t="s">
        <v>1</v>
      </c>
      <c r="D68" s="155" t="s">
        <v>178</v>
      </c>
      <c r="E68" s="217">
        <v>1630</v>
      </c>
      <c r="F68" s="218">
        <f t="shared" si="39"/>
        <v>11381475</v>
      </c>
      <c r="G68" s="218"/>
      <c r="H68" s="218">
        <f>'2103'!E19</f>
        <v>1138138</v>
      </c>
      <c r="I68" s="218">
        <f t="shared" si="41"/>
        <v>10243337</v>
      </c>
      <c r="J68" s="232"/>
      <c r="K68" s="159">
        <v>6650</v>
      </c>
      <c r="L68" s="218">
        <f t="shared" si="42"/>
        <v>9.9999165310295908</v>
      </c>
      <c r="M68" s="218">
        <f t="shared" si="46"/>
        <v>90.000083468970416</v>
      </c>
      <c r="N68" s="218">
        <f t="shared" si="43"/>
        <v>4552590</v>
      </c>
      <c r="O68" s="218">
        <f t="shared" si="47"/>
        <v>3414452</v>
      </c>
      <c r="P68" s="33"/>
      <c r="Q68" s="1"/>
      <c r="R68" s="1" t="s">
        <v>484</v>
      </c>
      <c r="S68" s="169">
        <f>'2103'!G4</f>
        <v>10243337</v>
      </c>
      <c r="T68" s="169">
        <f>'2103'!H4</f>
        <v>0</v>
      </c>
      <c r="U68" s="160">
        <v>46047</v>
      </c>
      <c r="V68" s="1" t="s">
        <v>481</v>
      </c>
      <c r="W68" s="1" t="str">
        <f t="shared" si="48"/>
        <v>Agre not Done</v>
      </c>
      <c r="X68" s="161" t="s">
        <v>551</v>
      </c>
      <c r="Y68" s="161" t="s">
        <v>529</v>
      </c>
      <c r="Z68" s="161" t="s">
        <v>640</v>
      </c>
      <c r="AA68" s="161" t="s">
        <v>172</v>
      </c>
      <c r="AB68" s="161">
        <v>45</v>
      </c>
      <c r="AC68" s="161" t="s">
        <v>464</v>
      </c>
      <c r="AD68" s="225" t="s">
        <v>502</v>
      </c>
      <c r="AE68" s="161" t="s">
        <v>531</v>
      </c>
      <c r="AF68" s="161" t="s">
        <v>530</v>
      </c>
      <c r="AG68" s="162" t="s">
        <v>678</v>
      </c>
      <c r="AH68" s="162"/>
      <c r="AI68" s="162"/>
      <c r="AJ68" s="162"/>
      <c r="AK68" s="162"/>
      <c r="AL68" s="162"/>
      <c r="AM68" s="162"/>
      <c r="AN68" s="162"/>
      <c r="AO68" s="162"/>
      <c r="AP68" s="163"/>
      <c r="AQ68" s="178"/>
      <c r="AR68" s="163"/>
      <c r="AS68" s="170"/>
      <c r="AT68" s="158">
        <f t="shared" si="44"/>
        <v>806.92498000000001</v>
      </c>
      <c r="AU68" s="156">
        <v>1074</v>
      </c>
      <c r="AV68" s="1" t="s">
        <v>49</v>
      </c>
      <c r="AW68" s="158">
        <f t="shared" si="45"/>
        <v>151.43195543508054</v>
      </c>
      <c r="AX68" s="1" t="s">
        <v>54</v>
      </c>
      <c r="AY68" s="1" t="str">
        <f t="shared" si="50"/>
        <v/>
      </c>
      <c r="AZ68" s="179"/>
      <c r="BA68" s="179"/>
      <c r="BB68" s="222" t="str">
        <f t="shared" si="51"/>
        <v>SendMessage</v>
      </c>
      <c r="BC68" s="1"/>
      <c r="BD68" s="4"/>
    </row>
    <row r="69" spans="1:56">
      <c r="A69" s="157">
        <v>2104</v>
      </c>
      <c r="B69" s="1" t="s">
        <v>282</v>
      </c>
      <c r="C69" s="1" t="s">
        <v>1</v>
      </c>
      <c r="D69" s="155" t="s">
        <v>178</v>
      </c>
      <c r="E69" s="217">
        <v>1560</v>
      </c>
      <c r="F69" s="218">
        <f t="shared" si="39"/>
        <v>9909900</v>
      </c>
      <c r="G69" s="218"/>
      <c r="H69" s="218">
        <f>'2104'!$E$21</f>
        <v>3963960</v>
      </c>
      <c r="I69" s="218">
        <f t="shared" si="41"/>
        <v>5945940</v>
      </c>
      <c r="J69" s="232"/>
      <c r="K69" s="159">
        <v>6050</v>
      </c>
      <c r="L69" s="218">
        <f t="shared" si="42"/>
        <v>40</v>
      </c>
      <c r="M69" s="218">
        <f t="shared" si="46"/>
        <v>60</v>
      </c>
      <c r="N69" s="218">
        <f t="shared" si="43"/>
        <v>3963960</v>
      </c>
      <c r="O69" s="218">
        <f t="shared" si="47"/>
        <v>0</v>
      </c>
      <c r="P69" s="33" t="s">
        <v>656</v>
      </c>
      <c r="Q69" s="1" t="s">
        <v>841</v>
      </c>
      <c r="R69" s="1" t="s">
        <v>484</v>
      </c>
      <c r="S69" s="169">
        <f>'2104'!G4</f>
        <v>309900</v>
      </c>
      <c r="T69" s="169">
        <f>'2104'!H4</f>
        <v>5636040</v>
      </c>
      <c r="U69" s="160">
        <v>46035</v>
      </c>
      <c r="V69" s="1" t="s">
        <v>298</v>
      </c>
      <c r="W69" s="160">
        <v>46072</v>
      </c>
      <c r="X69" s="161" t="s">
        <v>282</v>
      </c>
      <c r="Y69" s="161" t="s">
        <v>532</v>
      </c>
      <c r="Z69" s="161" t="s">
        <v>533</v>
      </c>
      <c r="AA69" s="161" t="s">
        <v>172</v>
      </c>
      <c r="AB69" s="161">
        <v>40</v>
      </c>
      <c r="AC69" s="213" t="s">
        <v>652</v>
      </c>
      <c r="AD69" s="223" t="s">
        <v>508</v>
      </c>
      <c r="AE69" s="161"/>
      <c r="AF69" s="161" t="s">
        <v>534</v>
      </c>
      <c r="AG69" s="162" t="s">
        <v>182</v>
      </c>
      <c r="AH69" s="162" t="str">
        <f t="shared" si="49"/>
        <v>Nil</v>
      </c>
      <c r="AI69" s="162" t="str">
        <f t="shared" ref="AI69:AI77" si="52">IF(AG69="Nil","Nil","")</f>
        <v>Nil</v>
      </c>
      <c r="AJ69" s="162" t="str">
        <f t="shared" ref="AJ69:AJ77" si="53">IF(AG69="Nil","Nil","")</f>
        <v>Nil</v>
      </c>
      <c r="AK69" s="162" t="str">
        <f t="shared" ref="AK69:AK77" si="54">IF(AG69="Nil","Nil","")</f>
        <v>Nil</v>
      </c>
      <c r="AL69" s="162" t="str">
        <f t="shared" ref="AL69:AL77" si="55">IF(AG69="Nil","Nil","")</f>
        <v>Nil</v>
      </c>
      <c r="AM69" s="162" t="str">
        <f t="shared" ref="AM69:AM77" si="56">IF(AG69="Nil","Nil","")</f>
        <v>Nil</v>
      </c>
      <c r="AN69" s="162" t="str">
        <f t="shared" ref="AN69:AN77" si="57">IF(AG69="Nil","Nil","")</f>
        <v>Nil</v>
      </c>
      <c r="AO69" s="162" t="str">
        <f t="shared" ref="AO69:AO77" si="58">IF(AG69="Nil","Nil","")</f>
        <v>Nil</v>
      </c>
      <c r="AP69" s="163"/>
      <c r="AQ69" s="178"/>
      <c r="AR69" s="163"/>
      <c r="AS69" s="170"/>
      <c r="AT69" s="158">
        <f t="shared" si="44"/>
        <v>772.27175999999997</v>
      </c>
      <c r="AU69" s="156">
        <v>984</v>
      </c>
      <c r="AV69" s="1" t="s">
        <v>49</v>
      </c>
      <c r="AW69" s="158">
        <f t="shared" si="45"/>
        <v>144.92874262498506</v>
      </c>
      <c r="AX69" s="1" t="s">
        <v>54</v>
      </c>
      <c r="AY69" s="1" t="str">
        <f t="shared" si="50"/>
        <v>Agreement Done</v>
      </c>
      <c r="AZ69" s="179"/>
      <c r="BA69" s="179"/>
      <c r="BB69" s="222" t="str">
        <f t="shared" si="51"/>
        <v>SendMessage</v>
      </c>
      <c r="BC69" s="1"/>
      <c r="BD69" s="4"/>
    </row>
    <row r="70" spans="1:56" s="4" customFormat="1" ht="15" hidden="1">
      <c r="A70" s="157">
        <v>2105</v>
      </c>
      <c r="B70" s="1"/>
      <c r="C70" s="1" t="s">
        <v>1</v>
      </c>
      <c r="D70" s="155" t="s">
        <v>178</v>
      </c>
      <c r="E70" s="156">
        <v>1510</v>
      </c>
      <c r="F70" s="218">
        <f t="shared" si="39"/>
        <v>0</v>
      </c>
      <c r="G70" s="218"/>
      <c r="H70" s="167"/>
      <c r="I70" s="167">
        <f t="shared" si="41"/>
        <v>0</v>
      </c>
      <c r="J70" s="233"/>
      <c r="K70" s="159"/>
      <c r="L70" s="167" t="e">
        <f t="shared" si="42"/>
        <v>#DIV/0!</v>
      </c>
      <c r="M70" s="167" t="e">
        <f t="shared" si="46"/>
        <v>#DIV/0!</v>
      </c>
      <c r="N70" s="167">
        <f t="shared" si="43"/>
        <v>0</v>
      </c>
      <c r="O70" s="167">
        <f t="shared" si="47"/>
        <v>0</v>
      </c>
      <c r="P70" s="33"/>
      <c r="Q70" s="1"/>
      <c r="R70" s="1"/>
      <c r="S70" s="169"/>
      <c r="T70" s="169"/>
      <c r="U70" s="160"/>
      <c r="V70" s="1"/>
      <c r="W70" s="1" t="str">
        <f t="shared" si="48"/>
        <v/>
      </c>
      <c r="X70" s="161" t="s">
        <v>182</v>
      </c>
      <c r="Y70" s="161" t="str">
        <f t="shared" ref="Y70:Y78" si="59">IF(X70="Nil","Nil","")</f>
        <v>Nil</v>
      </c>
      <c r="Z70" s="161" t="str">
        <f t="shared" ref="Z70:Z77" si="60">IF(X70="Nil","Nil","")</f>
        <v>Nil</v>
      </c>
      <c r="AA70" s="161" t="str">
        <f t="shared" ref="AA70:AA77" si="61">IF(X70="Nil","Nil","")</f>
        <v>Nil</v>
      </c>
      <c r="AB70" s="161" t="str">
        <f t="shared" ref="AB70:AB77" si="62">IF(X70="Nil","Nil","")</f>
        <v>Nil</v>
      </c>
      <c r="AC70" s="161" t="str">
        <f t="shared" ref="AC70:AC77" si="63">IF(X70="Nil","Nil","")</f>
        <v>Nil</v>
      </c>
      <c r="AD70" s="161" t="str">
        <f t="shared" ref="AD70:AD77" si="64">IF(X70="Nil","Nil","")</f>
        <v>Nil</v>
      </c>
      <c r="AE70" s="161" t="str">
        <f t="shared" ref="AE70:AE77" si="65">IF(X70="Nil","Nil","")</f>
        <v>Nil</v>
      </c>
      <c r="AF70" s="161" t="str">
        <f t="shared" ref="AF70:AF77" si="66">IF(X70="Nil","Nil","")</f>
        <v>Nil</v>
      </c>
      <c r="AG70" s="162" t="s">
        <v>182</v>
      </c>
      <c r="AH70" s="162" t="str">
        <f t="shared" si="49"/>
        <v>Nil</v>
      </c>
      <c r="AI70" s="162" t="str">
        <f t="shared" si="52"/>
        <v>Nil</v>
      </c>
      <c r="AJ70" s="162" t="str">
        <f t="shared" si="53"/>
        <v>Nil</v>
      </c>
      <c r="AK70" s="162" t="str">
        <f t="shared" si="54"/>
        <v>Nil</v>
      </c>
      <c r="AL70" s="162" t="str">
        <f t="shared" si="55"/>
        <v>Nil</v>
      </c>
      <c r="AM70" s="162" t="str">
        <f t="shared" si="56"/>
        <v>Nil</v>
      </c>
      <c r="AN70" s="162" t="str">
        <f t="shared" si="57"/>
        <v>Nil</v>
      </c>
      <c r="AO70" s="162" t="str">
        <f t="shared" si="58"/>
        <v>Nil</v>
      </c>
      <c r="AP70" s="163"/>
      <c r="AQ70" s="178"/>
      <c r="AR70" s="163"/>
      <c r="AS70" s="170"/>
      <c r="AT70" s="158">
        <f t="shared" si="44"/>
        <v>747.51945999999998</v>
      </c>
      <c r="AU70" s="156">
        <v>945</v>
      </c>
      <c r="AV70" s="1" t="s">
        <v>49</v>
      </c>
      <c r="AW70" s="158">
        <f t="shared" si="45"/>
        <v>140.283590617774</v>
      </c>
      <c r="AX70" s="1" t="s">
        <v>54</v>
      </c>
      <c r="AY70" s="1" t="str">
        <f t="shared" si="50"/>
        <v>Agreement Done</v>
      </c>
      <c r="AZ70" s="179"/>
      <c r="BA70" s="179"/>
      <c r="BB70" s="222" t="str">
        <f t="shared" si="51"/>
        <v>SendMessage</v>
      </c>
      <c r="BC70" s="1"/>
    </row>
    <row r="71" spans="1:56">
      <c r="A71" s="157">
        <v>2201</v>
      </c>
      <c r="B71" s="1" t="s">
        <v>543</v>
      </c>
      <c r="C71" s="1" t="s">
        <v>1</v>
      </c>
      <c r="D71" s="155" t="s">
        <v>177</v>
      </c>
      <c r="E71" s="217">
        <v>1265</v>
      </c>
      <c r="F71" s="218">
        <f t="shared" si="39"/>
        <v>8766450</v>
      </c>
      <c r="G71" s="218"/>
      <c r="H71" s="218">
        <f>'2201'!$E$19</f>
        <v>876645</v>
      </c>
      <c r="I71" s="218">
        <f t="shared" si="41"/>
        <v>7889805</v>
      </c>
      <c r="J71" s="232"/>
      <c r="K71" s="159">
        <v>6600</v>
      </c>
      <c r="L71" s="218">
        <f t="shared" si="42"/>
        <v>10</v>
      </c>
      <c r="M71" s="218">
        <f t="shared" si="46"/>
        <v>90</v>
      </c>
      <c r="N71" s="218">
        <f t="shared" si="43"/>
        <v>3506580</v>
      </c>
      <c r="O71" s="218">
        <f t="shared" si="47"/>
        <v>2629935</v>
      </c>
      <c r="P71" s="33" t="s">
        <v>503</v>
      </c>
      <c r="Q71" s="1" t="s">
        <v>841</v>
      </c>
      <c r="R71" s="1" t="s">
        <v>484</v>
      </c>
      <c r="S71" s="169">
        <f>'2201'!G4</f>
        <v>389805</v>
      </c>
      <c r="T71" s="169">
        <f>'2201'!H4</f>
        <v>7500000</v>
      </c>
      <c r="U71" s="160">
        <v>46037</v>
      </c>
      <c r="V71" s="1" t="s">
        <v>305</v>
      </c>
      <c r="W71" s="160">
        <v>46072</v>
      </c>
      <c r="X71" s="161" t="s">
        <v>543</v>
      </c>
      <c r="Y71" s="161" t="s">
        <v>641</v>
      </c>
      <c r="Z71" s="161" t="s">
        <v>642</v>
      </c>
      <c r="AA71" s="161" t="s">
        <v>727</v>
      </c>
      <c r="AB71" s="161">
        <v>34</v>
      </c>
      <c r="AC71" s="161" t="s">
        <v>645</v>
      </c>
      <c r="AD71" s="223" t="s">
        <v>646</v>
      </c>
      <c r="AE71" s="161" t="s">
        <v>644</v>
      </c>
      <c r="AF71" s="161" t="s">
        <v>643</v>
      </c>
      <c r="AG71" s="162" t="s">
        <v>182</v>
      </c>
      <c r="AH71" s="162" t="str">
        <f t="shared" si="49"/>
        <v>Nil</v>
      </c>
      <c r="AI71" s="162" t="str">
        <f t="shared" si="52"/>
        <v>Nil</v>
      </c>
      <c r="AJ71" s="162" t="str">
        <f t="shared" si="53"/>
        <v>Nil</v>
      </c>
      <c r="AK71" s="162" t="str">
        <f t="shared" si="54"/>
        <v>Nil</v>
      </c>
      <c r="AL71" s="162" t="str">
        <f t="shared" si="55"/>
        <v>Nil</v>
      </c>
      <c r="AM71" s="162" t="str">
        <f t="shared" si="56"/>
        <v>Nil</v>
      </c>
      <c r="AN71" s="162" t="str">
        <f t="shared" si="57"/>
        <v>Nil</v>
      </c>
      <c r="AO71" s="162" t="str">
        <f t="shared" si="58"/>
        <v>Nil</v>
      </c>
      <c r="AP71" s="163"/>
      <c r="AQ71" s="178"/>
      <c r="AR71" s="163"/>
      <c r="AS71" s="170"/>
      <c r="AT71" s="158">
        <f t="shared" si="44"/>
        <v>626.23319000000004</v>
      </c>
      <c r="AU71" s="156">
        <v>770</v>
      </c>
      <c r="AV71" s="1" t="s">
        <v>50</v>
      </c>
      <c r="AW71" s="158">
        <f t="shared" si="45"/>
        <v>117.5223457824398</v>
      </c>
      <c r="AX71" s="1" t="s">
        <v>54</v>
      </c>
      <c r="AY71" s="1" t="str">
        <f t="shared" si="50"/>
        <v>Agreement Done</v>
      </c>
      <c r="AZ71" s="179"/>
      <c r="BA71" s="179"/>
      <c r="BB71" s="222" t="str">
        <f t="shared" si="51"/>
        <v>SendMessage</v>
      </c>
      <c r="BC71" s="1" t="s">
        <v>314</v>
      </c>
      <c r="BD71" s="4"/>
    </row>
    <row r="72" spans="1:56" s="4" customFormat="1" ht="15" hidden="1">
      <c r="A72" s="157">
        <v>2202</v>
      </c>
      <c r="B72" s="1"/>
      <c r="C72" s="1" t="s">
        <v>1</v>
      </c>
      <c r="D72" s="155" t="s">
        <v>178</v>
      </c>
      <c r="E72" s="156">
        <v>1495</v>
      </c>
      <c r="F72" s="218">
        <f t="shared" si="39"/>
        <v>0</v>
      </c>
      <c r="G72" s="218"/>
      <c r="H72" s="167"/>
      <c r="I72" s="167">
        <f t="shared" si="41"/>
        <v>0</v>
      </c>
      <c r="J72" s="233"/>
      <c r="K72" s="159"/>
      <c r="L72" s="167" t="e">
        <f t="shared" si="42"/>
        <v>#DIV/0!</v>
      </c>
      <c r="M72" s="167" t="e">
        <f t="shared" si="46"/>
        <v>#DIV/0!</v>
      </c>
      <c r="N72" s="167">
        <f t="shared" si="43"/>
        <v>0</v>
      </c>
      <c r="O72" s="167">
        <f t="shared" si="47"/>
        <v>0</v>
      </c>
      <c r="P72" s="33"/>
      <c r="Q72" s="1"/>
      <c r="R72" s="1"/>
      <c r="S72" s="169"/>
      <c r="T72" s="169"/>
      <c r="U72" s="160"/>
      <c r="V72" s="1"/>
      <c r="W72" s="1" t="str">
        <f t="shared" si="48"/>
        <v/>
      </c>
      <c r="X72" s="161" t="s">
        <v>182</v>
      </c>
      <c r="Y72" s="161" t="str">
        <f t="shared" si="59"/>
        <v>Nil</v>
      </c>
      <c r="Z72" s="161" t="str">
        <f t="shared" si="60"/>
        <v>Nil</v>
      </c>
      <c r="AA72" s="161" t="str">
        <f t="shared" si="61"/>
        <v>Nil</v>
      </c>
      <c r="AB72" s="161" t="str">
        <f t="shared" si="62"/>
        <v>Nil</v>
      </c>
      <c r="AC72" s="161" t="str">
        <f t="shared" si="63"/>
        <v>Nil</v>
      </c>
      <c r="AD72" s="161" t="str">
        <f t="shared" si="64"/>
        <v>Nil</v>
      </c>
      <c r="AE72" s="161" t="str">
        <f t="shared" si="65"/>
        <v>Nil</v>
      </c>
      <c r="AF72" s="161" t="str">
        <f t="shared" si="66"/>
        <v>Nil</v>
      </c>
      <c r="AG72" s="162" t="s">
        <v>182</v>
      </c>
      <c r="AH72" s="162" t="str">
        <f t="shared" si="49"/>
        <v>Nil</v>
      </c>
      <c r="AI72" s="162" t="str">
        <f t="shared" si="52"/>
        <v>Nil</v>
      </c>
      <c r="AJ72" s="162" t="str">
        <f t="shared" si="53"/>
        <v>Nil</v>
      </c>
      <c r="AK72" s="162" t="str">
        <f t="shared" si="54"/>
        <v>Nil</v>
      </c>
      <c r="AL72" s="162" t="str">
        <f t="shared" si="55"/>
        <v>Nil</v>
      </c>
      <c r="AM72" s="162" t="str">
        <f t="shared" si="56"/>
        <v>Nil</v>
      </c>
      <c r="AN72" s="162" t="str">
        <f t="shared" si="57"/>
        <v>Nil</v>
      </c>
      <c r="AO72" s="162" t="str">
        <f t="shared" si="58"/>
        <v>Nil</v>
      </c>
      <c r="AP72" s="163"/>
      <c r="AQ72" s="178"/>
      <c r="AR72" s="163"/>
      <c r="AS72" s="170"/>
      <c r="AT72" s="158">
        <f t="shared" si="44"/>
        <v>740.09376999999995</v>
      </c>
      <c r="AU72" s="156">
        <v>967</v>
      </c>
      <c r="AV72" s="1" t="s">
        <v>50</v>
      </c>
      <c r="AW72" s="158">
        <f t="shared" si="45"/>
        <v>138.89004501561067</v>
      </c>
      <c r="AX72" s="1" t="s">
        <v>54</v>
      </c>
      <c r="AY72" s="1" t="str">
        <f t="shared" si="50"/>
        <v>Agreement Done</v>
      </c>
      <c r="AZ72" s="179"/>
      <c r="BA72" s="179"/>
      <c r="BB72" s="222" t="str">
        <f t="shared" si="51"/>
        <v>SendMessage</v>
      </c>
      <c r="BC72" s="1"/>
    </row>
    <row r="73" spans="1:56" s="4" customFormat="1" ht="15" hidden="1">
      <c r="A73" s="157">
        <v>2203</v>
      </c>
      <c r="B73" s="1"/>
      <c r="C73" s="1" t="s">
        <v>1</v>
      </c>
      <c r="D73" s="155" t="s">
        <v>178</v>
      </c>
      <c r="E73" s="156">
        <v>1630</v>
      </c>
      <c r="F73" s="218">
        <f t="shared" si="39"/>
        <v>0</v>
      </c>
      <c r="G73" s="218"/>
      <c r="H73" s="167"/>
      <c r="I73" s="167">
        <f t="shared" si="41"/>
        <v>0</v>
      </c>
      <c r="J73" s="233"/>
      <c r="K73" s="159"/>
      <c r="L73" s="167" t="e">
        <f t="shared" si="42"/>
        <v>#DIV/0!</v>
      </c>
      <c r="M73" s="167" t="e">
        <f t="shared" si="46"/>
        <v>#DIV/0!</v>
      </c>
      <c r="N73" s="167">
        <f t="shared" si="43"/>
        <v>0</v>
      </c>
      <c r="O73" s="167">
        <f t="shared" si="47"/>
        <v>0</v>
      </c>
      <c r="P73" s="33"/>
      <c r="Q73" s="1"/>
      <c r="R73" s="1"/>
      <c r="S73" s="169"/>
      <c r="T73" s="169"/>
      <c r="U73" s="160"/>
      <c r="V73" s="1"/>
      <c r="W73" s="1" t="str">
        <f t="shared" si="48"/>
        <v/>
      </c>
      <c r="X73" s="161" t="s">
        <v>182</v>
      </c>
      <c r="Y73" s="161" t="str">
        <f t="shared" si="59"/>
        <v>Nil</v>
      </c>
      <c r="Z73" s="161" t="str">
        <f t="shared" si="60"/>
        <v>Nil</v>
      </c>
      <c r="AA73" s="161" t="str">
        <f t="shared" si="61"/>
        <v>Nil</v>
      </c>
      <c r="AB73" s="161" t="str">
        <f t="shared" si="62"/>
        <v>Nil</v>
      </c>
      <c r="AC73" s="161" t="str">
        <f t="shared" si="63"/>
        <v>Nil</v>
      </c>
      <c r="AD73" s="161" t="str">
        <f t="shared" si="64"/>
        <v>Nil</v>
      </c>
      <c r="AE73" s="161" t="str">
        <f t="shared" si="65"/>
        <v>Nil</v>
      </c>
      <c r="AF73" s="161" t="str">
        <f t="shared" si="66"/>
        <v>Nil</v>
      </c>
      <c r="AG73" s="162" t="s">
        <v>182</v>
      </c>
      <c r="AH73" s="162" t="str">
        <f t="shared" si="49"/>
        <v>Nil</v>
      </c>
      <c r="AI73" s="162" t="str">
        <f t="shared" si="52"/>
        <v>Nil</v>
      </c>
      <c r="AJ73" s="162" t="str">
        <f t="shared" si="53"/>
        <v>Nil</v>
      </c>
      <c r="AK73" s="162" t="str">
        <f t="shared" si="54"/>
        <v>Nil</v>
      </c>
      <c r="AL73" s="162" t="str">
        <f t="shared" si="55"/>
        <v>Nil</v>
      </c>
      <c r="AM73" s="162" t="str">
        <f t="shared" si="56"/>
        <v>Nil</v>
      </c>
      <c r="AN73" s="162" t="str">
        <f t="shared" si="57"/>
        <v>Nil</v>
      </c>
      <c r="AO73" s="162" t="str">
        <f t="shared" si="58"/>
        <v>Nil</v>
      </c>
      <c r="AP73" s="163"/>
      <c r="AQ73" s="178"/>
      <c r="AR73" s="163"/>
      <c r="AS73" s="170"/>
      <c r="AT73" s="158">
        <f t="shared" si="44"/>
        <v>806.92498000000001</v>
      </c>
      <c r="AU73" s="156">
        <v>1074</v>
      </c>
      <c r="AV73" s="1" t="s">
        <v>50</v>
      </c>
      <c r="AW73" s="158">
        <f t="shared" si="45"/>
        <v>151.43195543508054</v>
      </c>
      <c r="AX73" s="1" t="s">
        <v>54</v>
      </c>
      <c r="AY73" s="1" t="str">
        <f t="shared" si="50"/>
        <v>Agreement Done</v>
      </c>
      <c r="AZ73" s="179"/>
      <c r="BA73" s="179"/>
      <c r="BB73" s="222" t="str">
        <f t="shared" si="51"/>
        <v>SendMessage</v>
      </c>
      <c r="BC73" s="1"/>
    </row>
    <row r="74" spans="1:56" s="4" customFormat="1" ht="15" hidden="1">
      <c r="A74" s="157">
        <v>2204</v>
      </c>
      <c r="B74" s="1"/>
      <c r="C74" s="1" t="s">
        <v>1</v>
      </c>
      <c r="D74" s="155" t="s">
        <v>178</v>
      </c>
      <c r="E74" s="156">
        <v>1560</v>
      </c>
      <c r="F74" s="218">
        <f t="shared" si="39"/>
        <v>0</v>
      </c>
      <c r="G74" s="218"/>
      <c r="H74" s="167"/>
      <c r="I74" s="167">
        <f t="shared" si="41"/>
        <v>0</v>
      </c>
      <c r="J74" s="233"/>
      <c r="K74" s="159"/>
      <c r="L74" s="167" t="e">
        <f t="shared" si="42"/>
        <v>#DIV/0!</v>
      </c>
      <c r="M74" s="167" t="e">
        <f t="shared" si="46"/>
        <v>#DIV/0!</v>
      </c>
      <c r="N74" s="167">
        <f t="shared" si="43"/>
        <v>0</v>
      </c>
      <c r="O74" s="167">
        <f t="shared" si="47"/>
        <v>0</v>
      </c>
      <c r="P74" s="33"/>
      <c r="Q74" s="1"/>
      <c r="R74" s="1"/>
      <c r="S74" s="169"/>
      <c r="T74" s="169"/>
      <c r="U74" s="160"/>
      <c r="V74" s="1"/>
      <c r="W74" s="1" t="str">
        <f t="shared" si="48"/>
        <v/>
      </c>
      <c r="X74" s="161" t="s">
        <v>182</v>
      </c>
      <c r="Y74" s="161" t="str">
        <f t="shared" si="59"/>
        <v>Nil</v>
      </c>
      <c r="Z74" s="161" t="str">
        <f t="shared" si="60"/>
        <v>Nil</v>
      </c>
      <c r="AA74" s="161" t="str">
        <f t="shared" si="61"/>
        <v>Nil</v>
      </c>
      <c r="AB74" s="161" t="str">
        <f t="shared" si="62"/>
        <v>Nil</v>
      </c>
      <c r="AC74" s="161" t="str">
        <f t="shared" si="63"/>
        <v>Nil</v>
      </c>
      <c r="AD74" s="161" t="str">
        <f t="shared" si="64"/>
        <v>Nil</v>
      </c>
      <c r="AE74" s="161" t="str">
        <f t="shared" si="65"/>
        <v>Nil</v>
      </c>
      <c r="AF74" s="161" t="str">
        <f t="shared" si="66"/>
        <v>Nil</v>
      </c>
      <c r="AG74" s="162" t="s">
        <v>182</v>
      </c>
      <c r="AH74" s="162" t="str">
        <f t="shared" si="49"/>
        <v>Nil</v>
      </c>
      <c r="AI74" s="162" t="str">
        <f t="shared" si="52"/>
        <v>Nil</v>
      </c>
      <c r="AJ74" s="162" t="str">
        <f t="shared" si="53"/>
        <v>Nil</v>
      </c>
      <c r="AK74" s="162" t="str">
        <f t="shared" si="54"/>
        <v>Nil</v>
      </c>
      <c r="AL74" s="162" t="str">
        <f t="shared" si="55"/>
        <v>Nil</v>
      </c>
      <c r="AM74" s="162" t="str">
        <f t="shared" si="56"/>
        <v>Nil</v>
      </c>
      <c r="AN74" s="162" t="str">
        <f t="shared" si="57"/>
        <v>Nil</v>
      </c>
      <c r="AO74" s="162" t="str">
        <f t="shared" si="58"/>
        <v>Nil</v>
      </c>
      <c r="AP74" s="163"/>
      <c r="AQ74" s="178"/>
      <c r="AR74" s="163"/>
      <c r="AS74" s="170"/>
      <c r="AT74" s="158">
        <f t="shared" si="44"/>
        <v>772.27175999999997</v>
      </c>
      <c r="AU74" s="156">
        <v>984</v>
      </c>
      <c r="AV74" s="1" t="s">
        <v>50</v>
      </c>
      <c r="AW74" s="158">
        <f t="shared" si="45"/>
        <v>144.92874262498506</v>
      </c>
      <c r="AX74" s="1" t="s">
        <v>54</v>
      </c>
      <c r="AY74" s="1" t="str">
        <f t="shared" si="50"/>
        <v>Agreement Done</v>
      </c>
      <c r="AZ74" s="179"/>
      <c r="BA74" s="179"/>
      <c r="BB74" s="222" t="str">
        <f t="shared" si="51"/>
        <v>SendMessage</v>
      </c>
      <c r="BC74" s="1"/>
    </row>
    <row r="75" spans="1:56" s="4" customFormat="1" ht="15">
      <c r="A75" s="157">
        <v>2205</v>
      </c>
      <c r="B75" s="1" t="s">
        <v>553</v>
      </c>
      <c r="C75" s="1" t="s">
        <v>1</v>
      </c>
      <c r="D75" s="155" t="s">
        <v>178</v>
      </c>
      <c r="E75" s="217">
        <v>1510</v>
      </c>
      <c r="F75" s="218">
        <f t="shared" si="39"/>
        <v>10702125</v>
      </c>
      <c r="G75" s="218"/>
      <c r="H75" s="218">
        <f>'2205'!$E$19</f>
        <v>1070213</v>
      </c>
      <c r="I75" s="218">
        <f t="shared" si="41"/>
        <v>9631912</v>
      </c>
      <c r="J75" s="232"/>
      <c r="K75" s="159">
        <v>6750</v>
      </c>
      <c r="L75" s="218">
        <f t="shared" si="42"/>
        <v>10.000004671969352</v>
      </c>
      <c r="M75" s="218">
        <f t="shared" si="46"/>
        <v>89.99999532803065</v>
      </c>
      <c r="N75" s="218">
        <f t="shared" si="43"/>
        <v>4280850</v>
      </c>
      <c r="O75" s="218">
        <f t="shared" si="47"/>
        <v>3210637</v>
      </c>
      <c r="P75" s="33" t="s">
        <v>503</v>
      </c>
      <c r="Q75" s="1" t="s">
        <v>841</v>
      </c>
      <c r="R75" s="1" t="s">
        <v>484</v>
      </c>
      <c r="S75" s="169">
        <f>'2205'!G4</f>
        <v>1605318</v>
      </c>
      <c r="T75" s="169">
        <f>'2205'!H4</f>
        <v>8026594</v>
      </c>
      <c r="U75" s="160">
        <v>46058</v>
      </c>
      <c r="V75" s="1" t="s">
        <v>596</v>
      </c>
      <c r="W75" s="160">
        <v>46072</v>
      </c>
      <c r="X75" s="161" t="s">
        <v>553</v>
      </c>
      <c r="Y75" s="161" t="s">
        <v>647</v>
      </c>
      <c r="Z75" s="161" t="s">
        <v>648</v>
      </c>
      <c r="AA75" s="161" t="s">
        <v>172</v>
      </c>
      <c r="AB75" s="161">
        <v>33</v>
      </c>
      <c r="AC75" s="161" t="s">
        <v>555</v>
      </c>
      <c r="AD75" s="223" t="s">
        <v>554</v>
      </c>
      <c r="AE75" s="161" t="s">
        <v>650</v>
      </c>
      <c r="AF75" s="161" t="s">
        <v>649</v>
      </c>
      <c r="AG75" s="162" t="s">
        <v>182</v>
      </c>
      <c r="AH75" s="162" t="str">
        <f t="shared" si="49"/>
        <v>Nil</v>
      </c>
      <c r="AI75" s="162" t="str">
        <f t="shared" si="52"/>
        <v>Nil</v>
      </c>
      <c r="AJ75" s="162" t="str">
        <f t="shared" si="53"/>
        <v>Nil</v>
      </c>
      <c r="AK75" s="162" t="str">
        <f t="shared" si="54"/>
        <v>Nil</v>
      </c>
      <c r="AL75" s="162" t="str">
        <f t="shared" si="55"/>
        <v>Nil</v>
      </c>
      <c r="AM75" s="162" t="str">
        <f t="shared" si="56"/>
        <v>Nil</v>
      </c>
      <c r="AN75" s="162" t="str">
        <f t="shared" si="57"/>
        <v>Nil</v>
      </c>
      <c r="AO75" s="162" t="str">
        <f t="shared" si="58"/>
        <v>Nil</v>
      </c>
      <c r="AP75" s="163"/>
      <c r="AQ75" s="178"/>
      <c r="AR75" s="163"/>
      <c r="AS75" s="170"/>
      <c r="AT75" s="158">
        <f t="shared" si="44"/>
        <v>747.51945999999998</v>
      </c>
      <c r="AU75" s="156">
        <v>945</v>
      </c>
      <c r="AV75" s="1" t="s">
        <v>50</v>
      </c>
      <c r="AW75" s="158">
        <f t="shared" si="45"/>
        <v>140.283590617774</v>
      </c>
      <c r="AX75" s="1" t="s">
        <v>54</v>
      </c>
      <c r="AY75" s="1" t="str">
        <f t="shared" si="50"/>
        <v>Agreement Done</v>
      </c>
      <c r="AZ75" s="179"/>
      <c r="BA75" s="179"/>
      <c r="BB75" s="222" t="str">
        <f t="shared" si="51"/>
        <v>SendMessage</v>
      </c>
      <c r="BC75" s="1"/>
    </row>
    <row r="76" spans="1:56" s="4" customFormat="1" ht="15" hidden="1">
      <c r="A76" s="216">
        <v>2301</v>
      </c>
      <c r="B76" s="1"/>
      <c r="C76" s="1" t="s">
        <v>1</v>
      </c>
      <c r="D76" s="155" t="s">
        <v>177</v>
      </c>
      <c r="E76" s="156">
        <v>1265</v>
      </c>
      <c r="F76" s="218">
        <f t="shared" si="39"/>
        <v>0</v>
      </c>
      <c r="G76" s="218"/>
      <c r="H76" s="167"/>
      <c r="I76" s="167">
        <f t="shared" si="41"/>
        <v>0</v>
      </c>
      <c r="J76" s="233"/>
      <c r="K76" s="159"/>
      <c r="L76" s="167" t="e">
        <f t="shared" si="42"/>
        <v>#DIV/0!</v>
      </c>
      <c r="M76" s="167" t="e">
        <f t="shared" si="46"/>
        <v>#DIV/0!</v>
      </c>
      <c r="N76" s="167">
        <f t="shared" si="43"/>
        <v>0</v>
      </c>
      <c r="O76" s="167">
        <f t="shared" si="47"/>
        <v>0</v>
      </c>
      <c r="P76" s="33"/>
      <c r="Q76" s="1"/>
      <c r="R76" s="1"/>
      <c r="S76" s="169"/>
      <c r="T76" s="169"/>
      <c r="U76" s="160"/>
      <c r="V76" s="1"/>
      <c r="W76" s="1" t="str">
        <f t="shared" si="48"/>
        <v/>
      </c>
      <c r="X76" s="161" t="s">
        <v>182</v>
      </c>
      <c r="Y76" s="161" t="str">
        <f t="shared" si="59"/>
        <v>Nil</v>
      </c>
      <c r="Z76" s="161" t="str">
        <f t="shared" si="60"/>
        <v>Nil</v>
      </c>
      <c r="AA76" s="161" t="str">
        <f t="shared" si="61"/>
        <v>Nil</v>
      </c>
      <c r="AB76" s="161" t="str">
        <f t="shared" si="62"/>
        <v>Nil</v>
      </c>
      <c r="AC76" s="161" t="str">
        <f t="shared" si="63"/>
        <v>Nil</v>
      </c>
      <c r="AD76" s="161" t="str">
        <f t="shared" si="64"/>
        <v>Nil</v>
      </c>
      <c r="AE76" s="161" t="str">
        <f t="shared" si="65"/>
        <v>Nil</v>
      </c>
      <c r="AF76" s="161" t="str">
        <f t="shared" si="66"/>
        <v>Nil</v>
      </c>
      <c r="AG76" s="162" t="s">
        <v>182</v>
      </c>
      <c r="AH76" s="162" t="str">
        <f t="shared" si="49"/>
        <v>Nil</v>
      </c>
      <c r="AI76" s="162" t="str">
        <f t="shared" si="52"/>
        <v>Nil</v>
      </c>
      <c r="AJ76" s="162" t="str">
        <f t="shared" si="53"/>
        <v>Nil</v>
      </c>
      <c r="AK76" s="162" t="str">
        <f t="shared" si="54"/>
        <v>Nil</v>
      </c>
      <c r="AL76" s="162" t="str">
        <f t="shared" si="55"/>
        <v>Nil</v>
      </c>
      <c r="AM76" s="162" t="str">
        <f t="shared" si="56"/>
        <v>Nil</v>
      </c>
      <c r="AN76" s="162" t="str">
        <f t="shared" si="57"/>
        <v>Nil</v>
      </c>
      <c r="AO76" s="162" t="str">
        <f t="shared" si="58"/>
        <v>Nil</v>
      </c>
      <c r="AP76" s="163"/>
      <c r="AQ76" s="178"/>
      <c r="AR76" s="163"/>
      <c r="AS76" s="170"/>
      <c r="AT76" s="158">
        <f t="shared" si="44"/>
        <v>626.23319000000004</v>
      </c>
      <c r="AU76" s="156">
        <v>770</v>
      </c>
      <c r="AV76" s="1" t="s">
        <v>51</v>
      </c>
      <c r="AW76" s="158">
        <f t="shared" si="45"/>
        <v>117.5223457824398</v>
      </c>
      <c r="AX76" s="1" t="s">
        <v>54</v>
      </c>
      <c r="AY76" s="1" t="str">
        <f t="shared" si="50"/>
        <v>Agreement Done</v>
      </c>
      <c r="AZ76" s="179"/>
      <c r="BA76" s="179"/>
      <c r="BB76" s="222" t="str">
        <f t="shared" si="51"/>
        <v>SendMessage</v>
      </c>
      <c r="BC76" s="1"/>
    </row>
    <row r="77" spans="1:56" s="4" customFormat="1" ht="15" hidden="1">
      <c r="A77" s="157">
        <v>2302</v>
      </c>
      <c r="B77" s="1"/>
      <c r="C77" s="1" t="s">
        <v>1</v>
      </c>
      <c r="D77" s="155" t="s">
        <v>178</v>
      </c>
      <c r="E77" s="156">
        <v>1495</v>
      </c>
      <c r="F77" s="218">
        <f t="shared" si="39"/>
        <v>0</v>
      </c>
      <c r="G77" s="218"/>
      <c r="H77" s="167"/>
      <c r="I77" s="167">
        <f t="shared" si="41"/>
        <v>0</v>
      </c>
      <c r="J77" s="233"/>
      <c r="K77" s="159"/>
      <c r="L77" s="167" t="e">
        <f t="shared" si="42"/>
        <v>#DIV/0!</v>
      </c>
      <c r="M77" s="167" t="e">
        <f t="shared" si="46"/>
        <v>#DIV/0!</v>
      </c>
      <c r="N77" s="167">
        <f t="shared" si="43"/>
        <v>0</v>
      </c>
      <c r="O77" s="167">
        <f t="shared" si="47"/>
        <v>0</v>
      </c>
      <c r="P77" s="33"/>
      <c r="Q77" s="1"/>
      <c r="R77" s="1"/>
      <c r="S77" s="169"/>
      <c r="T77" s="169"/>
      <c r="U77" s="160"/>
      <c r="V77" s="1"/>
      <c r="W77" s="1" t="str">
        <f t="shared" si="48"/>
        <v/>
      </c>
      <c r="X77" s="161" t="s">
        <v>182</v>
      </c>
      <c r="Y77" s="161" t="str">
        <f t="shared" si="59"/>
        <v>Nil</v>
      </c>
      <c r="Z77" s="161" t="str">
        <f t="shared" si="60"/>
        <v>Nil</v>
      </c>
      <c r="AA77" s="161" t="str">
        <f t="shared" si="61"/>
        <v>Nil</v>
      </c>
      <c r="AB77" s="161" t="str">
        <f t="shared" si="62"/>
        <v>Nil</v>
      </c>
      <c r="AC77" s="161" t="str">
        <f t="shared" si="63"/>
        <v>Nil</v>
      </c>
      <c r="AD77" s="161" t="str">
        <f t="shared" si="64"/>
        <v>Nil</v>
      </c>
      <c r="AE77" s="161" t="str">
        <f t="shared" si="65"/>
        <v>Nil</v>
      </c>
      <c r="AF77" s="161" t="str">
        <f t="shared" si="66"/>
        <v>Nil</v>
      </c>
      <c r="AG77" s="162" t="s">
        <v>182</v>
      </c>
      <c r="AH77" s="162" t="str">
        <f t="shared" si="49"/>
        <v>Nil</v>
      </c>
      <c r="AI77" s="162" t="str">
        <f t="shared" si="52"/>
        <v>Nil</v>
      </c>
      <c r="AJ77" s="162" t="str">
        <f t="shared" si="53"/>
        <v>Nil</v>
      </c>
      <c r="AK77" s="162" t="str">
        <f t="shared" si="54"/>
        <v>Nil</v>
      </c>
      <c r="AL77" s="162" t="str">
        <f t="shared" si="55"/>
        <v>Nil</v>
      </c>
      <c r="AM77" s="162" t="str">
        <f t="shared" si="56"/>
        <v>Nil</v>
      </c>
      <c r="AN77" s="162" t="str">
        <f t="shared" si="57"/>
        <v>Nil</v>
      </c>
      <c r="AO77" s="162" t="str">
        <f t="shared" si="58"/>
        <v>Nil</v>
      </c>
      <c r="AP77" s="163"/>
      <c r="AQ77" s="178"/>
      <c r="AR77" s="163"/>
      <c r="AS77" s="170"/>
      <c r="AT77" s="158">
        <f t="shared" si="44"/>
        <v>740.09376999999995</v>
      </c>
      <c r="AU77" s="156">
        <v>967</v>
      </c>
      <c r="AV77" s="1" t="s">
        <v>51</v>
      </c>
      <c r="AW77" s="158">
        <f t="shared" si="45"/>
        <v>138.89004501561067</v>
      </c>
      <c r="AX77" s="1" t="s">
        <v>54</v>
      </c>
      <c r="AY77" s="1" t="str">
        <f t="shared" si="50"/>
        <v>Agreement Done</v>
      </c>
      <c r="AZ77" s="179"/>
      <c r="BA77" s="179"/>
      <c r="BB77" s="222" t="str">
        <f t="shared" si="51"/>
        <v>SendMessage</v>
      </c>
      <c r="BC77" s="1"/>
    </row>
    <row r="78" spans="1:56" s="4" customFormat="1" ht="15" hidden="1">
      <c r="A78" s="157">
        <v>2304</v>
      </c>
      <c r="B78" s="1"/>
      <c r="C78" s="1" t="s">
        <v>1</v>
      </c>
      <c r="D78" s="155" t="s">
        <v>178</v>
      </c>
      <c r="E78" s="156">
        <v>1560</v>
      </c>
      <c r="F78" s="218">
        <f t="shared" si="39"/>
        <v>0</v>
      </c>
      <c r="G78" s="218"/>
      <c r="H78" s="167"/>
      <c r="I78" s="167">
        <f t="shared" si="41"/>
        <v>0</v>
      </c>
      <c r="J78" s="233"/>
      <c r="K78" s="159"/>
      <c r="L78" s="167" t="e">
        <f t="shared" si="42"/>
        <v>#DIV/0!</v>
      </c>
      <c r="M78" s="167" t="e">
        <f t="shared" si="46"/>
        <v>#DIV/0!</v>
      </c>
      <c r="N78" s="167">
        <f t="shared" si="43"/>
        <v>0</v>
      </c>
      <c r="O78" s="167">
        <f t="shared" si="47"/>
        <v>0</v>
      </c>
      <c r="P78" s="33"/>
      <c r="Q78" s="1"/>
      <c r="R78" s="1"/>
      <c r="S78" s="169"/>
      <c r="T78" s="169"/>
      <c r="U78" s="160"/>
      <c r="V78" s="1"/>
      <c r="W78" s="1" t="str">
        <f t="shared" si="48"/>
        <v/>
      </c>
      <c r="X78" s="161" t="s">
        <v>182</v>
      </c>
      <c r="Y78" s="161" t="str">
        <f t="shared" si="59"/>
        <v>Nil</v>
      </c>
      <c r="Z78" s="161" t="str">
        <f>IF(X78="Nil","Nil","")</f>
        <v>Nil</v>
      </c>
      <c r="AA78" s="161" t="str">
        <f>IF(X78="Nil","Nil","")</f>
        <v>Nil</v>
      </c>
      <c r="AB78" s="161" t="str">
        <f>IF(X78="Nil","Nil","")</f>
        <v>Nil</v>
      </c>
      <c r="AC78" s="161" t="str">
        <f>IF(X78="Nil","Nil","")</f>
        <v>Nil</v>
      </c>
      <c r="AD78" s="161" t="str">
        <f>IF(X78="Nil","Nil","")</f>
        <v>Nil</v>
      </c>
      <c r="AE78" s="161" t="str">
        <f>IF(X78="Nil","Nil","")</f>
        <v>Nil</v>
      </c>
      <c r="AF78" s="161" t="str">
        <f>IF(X78="Nil","Nil","")</f>
        <v>Nil</v>
      </c>
      <c r="AG78" s="162" t="s">
        <v>182</v>
      </c>
      <c r="AH78" s="162" t="str">
        <f t="shared" si="49"/>
        <v>Nil</v>
      </c>
      <c r="AI78" s="162" t="str">
        <f>IF(AG78="Nil","Nil","")</f>
        <v>Nil</v>
      </c>
      <c r="AJ78" s="162" t="str">
        <f>IF(AG78="Nil","Nil","")</f>
        <v>Nil</v>
      </c>
      <c r="AK78" s="162" t="str">
        <f>IF(AG78="Nil","Nil","")</f>
        <v>Nil</v>
      </c>
      <c r="AL78" s="162" t="str">
        <f>IF(AG78="Nil","Nil","")</f>
        <v>Nil</v>
      </c>
      <c r="AM78" s="162" t="str">
        <f>IF(AG78="Nil","Nil","")</f>
        <v>Nil</v>
      </c>
      <c r="AN78" s="162" t="str">
        <f>IF(AG78="Nil","Nil","")</f>
        <v>Nil</v>
      </c>
      <c r="AO78" s="162" t="str">
        <f>IF(AG78="Nil","Nil","")</f>
        <v>Nil</v>
      </c>
      <c r="AP78" s="163"/>
      <c r="AQ78" s="178"/>
      <c r="AR78" s="163"/>
      <c r="AS78" s="170"/>
      <c r="AT78" s="158">
        <f t="shared" si="44"/>
        <v>772.27175999999997</v>
      </c>
      <c r="AU78" s="156">
        <v>984</v>
      </c>
      <c r="AV78" s="1" t="s">
        <v>51</v>
      </c>
      <c r="AW78" s="158">
        <f t="shared" si="45"/>
        <v>144.92874262498506</v>
      </c>
      <c r="AX78" s="1" t="s">
        <v>54</v>
      </c>
      <c r="AY78" s="1" t="str">
        <f t="shared" si="50"/>
        <v>Agreement Done</v>
      </c>
      <c r="AZ78" s="179"/>
      <c r="BA78" s="179"/>
      <c r="BB78" s="222" t="str">
        <f t="shared" si="51"/>
        <v>SendMessage</v>
      </c>
      <c r="BC78" s="1"/>
    </row>
    <row r="80" spans="1:56">
      <c r="B80" s="219" t="s">
        <v>52</v>
      </c>
      <c r="D80" s="219"/>
      <c r="E80" s="220">
        <f t="shared" ref="E80:T80" si="67">SUBTOTAL(9,E2:E79)</f>
        <v>50510</v>
      </c>
      <c r="F80" s="220">
        <f t="shared" si="67"/>
        <v>343205150.75</v>
      </c>
      <c r="G80" s="220"/>
      <c r="H80" s="220">
        <f t="shared" si="67"/>
        <v>82684727</v>
      </c>
      <c r="I80" s="220">
        <f t="shared" si="67"/>
        <v>260520423.75</v>
      </c>
      <c r="J80" s="234"/>
      <c r="K80" s="220">
        <f>AVERAGE(K2:K65)</f>
        <v>6460.2</v>
      </c>
      <c r="L80" s="220"/>
      <c r="M80" s="220"/>
      <c r="N80" s="220">
        <f t="shared" si="67"/>
        <v>137282060.30000001</v>
      </c>
      <c r="O80" s="220">
        <f t="shared" si="67"/>
        <v>55253229.299999997</v>
      </c>
      <c r="P80" s="220"/>
      <c r="Q80" s="230"/>
      <c r="R80" s="220"/>
      <c r="S80" s="220">
        <f t="shared" si="67"/>
        <v>118001107</v>
      </c>
      <c r="T80" s="220">
        <f t="shared" si="67"/>
        <v>136383098</v>
      </c>
    </row>
    <row r="81" spans="1:14">
      <c r="K81" s="81" t="s">
        <v>106</v>
      </c>
    </row>
    <row r="84" spans="1:14">
      <c r="A84" s="185"/>
      <c r="B84" s="185" t="s">
        <v>190</v>
      </c>
      <c r="C84" s="185">
        <f>COUNTA(B2:B78)</f>
        <v>35</v>
      </c>
    </row>
    <row r="86" spans="1:14">
      <c r="B86" s="81" t="s">
        <v>194</v>
      </c>
      <c r="K86" s="226"/>
      <c r="N86" s="221"/>
    </row>
    <row r="87" spans="1:14">
      <c r="B87" s="194" t="s">
        <v>193</v>
      </c>
    </row>
    <row r="88" spans="1:14">
      <c r="B88" s="192" t="s">
        <v>191</v>
      </c>
    </row>
    <row r="89" spans="1:14">
      <c r="B89" s="195" t="s">
        <v>195</v>
      </c>
    </row>
    <row r="90" spans="1:14">
      <c r="B90" s="196" t="s">
        <v>196</v>
      </c>
    </row>
    <row r="91" spans="1:14">
      <c r="B91" s="193" t="s">
        <v>192</v>
      </c>
    </row>
    <row r="92" spans="1:14">
      <c r="B92" s="197" t="s">
        <v>197</v>
      </c>
    </row>
    <row r="93" spans="1:14">
      <c r="B93" s="198" t="s">
        <v>198</v>
      </c>
    </row>
    <row r="94" spans="1:14">
      <c r="B94" s="199" t="s">
        <v>199</v>
      </c>
    </row>
  </sheetData>
  <autoFilter ref="A1:BD78" xr:uid="{0540BAB5-44AF-4A8F-8B57-70BE16C33CAD}">
    <filterColumn colId="1">
      <customFilters>
        <customFilter operator="notEqual" val=" "/>
      </customFilters>
    </filterColumn>
  </autoFilter>
  <conditionalFormatting sqref="Q2:Q78">
    <cfRule type="notContainsBlanks" dxfId="0" priority="2">
      <formula>LEN(TRIM(Q2))&gt;0</formula>
    </cfRule>
  </conditionalFormatting>
  <hyperlinks>
    <hyperlink ref="A2" location="'0201'!A1" display="0201" xr:uid="{09562FBE-D476-4583-9D6A-7C4A6466ACD6}"/>
    <hyperlink ref="A3" location="'0202'!A1" display="0202" xr:uid="{CD2B51D8-1E9D-4851-A463-07C591A2FC70}"/>
    <hyperlink ref="A4" location="'0203'!A1" display="0203" xr:uid="{BBEF824F-A199-4B48-A82B-05DD0903E797}"/>
    <hyperlink ref="A57" location="'1701'!A1" display="'1701'!A1" xr:uid="{E2418D2A-4F2F-433D-B524-EA531DCFFACF}"/>
    <hyperlink ref="A54" location="'1603'!A1" display="'1603'!A1" xr:uid="{B68CFF5F-7DA6-41B1-A6F8-551672AE796F}"/>
    <hyperlink ref="A63" location="'2002'!A1" display="'2002'!A1" xr:uid="{B4A698CF-EB8A-4BE2-864D-3CF8B4A0EDA1}"/>
    <hyperlink ref="A58" location="'1702'!A1" display="'1702'!A1" xr:uid="{273868B9-325B-4AA7-BD56-72D869FDE032}"/>
    <hyperlink ref="A64" location="'2003'!A1" display="'2003'!A1" xr:uid="{C809BA32-D08D-4371-A043-86C2D577AB8C}"/>
    <hyperlink ref="A65" location="'2004'!A1" display="'2004'!A1" xr:uid="{DA92ECCA-5DBF-40BE-BB92-EDB1642B9155}"/>
    <hyperlink ref="AD65" r:id="rId1" xr:uid="{9621D564-378D-4F25-AEC9-D548B560AD5A}"/>
    <hyperlink ref="A47" location="'1501'!A1" display="'1501'!A1" xr:uid="{7F929DCC-4434-4811-9647-472C058A1ABC}"/>
    <hyperlink ref="AD47" r:id="rId2" xr:uid="{F2E4B7C9-0F37-45BD-8876-200102CE86CC}"/>
    <hyperlink ref="A60" location="'1704'!A1" display="'1704'!A1" xr:uid="{99AD0A70-C25B-4D2A-9691-966AF2EE37ED}"/>
    <hyperlink ref="A52" location="'1601'!A1" display="'1601'!A1" xr:uid="{7700823E-1BFC-4E0C-BA05-15ACD506E4FD}"/>
    <hyperlink ref="AD52" r:id="rId3" xr:uid="{236B38F8-C9FA-49B7-98E3-29A6C86FD833}"/>
    <hyperlink ref="A62" location="'2001'!A1" display="'2001'!A1" xr:uid="{1C80BABD-1320-4662-9D42-FAF555DC9ABD}"/>
    <hyperlink ref="A56" location="'1605'!A1" display="'1605'!A1" xr:uid="{154CC22A-500B-4DC4-A7F8-6FD88B3B6548}"/>
    <hyperlink ref="AD56" r:id="rId4" xr:uid="{D96871DA-E6D8-4998-A7C7-515A5C2DF9B6}"/>
    <hyperlink ref="A49" location="'1503'!A1" display="'1503'!A1" xr:uid="{8057F4F3-AE22-44D1-B4F5-43DF2353334C}"/>
    <hyperlink ref="AD27" r:id="rId5" xr:uid="{3E9FC593-0F7E-44CD-957B-800D0900027C}"/>
    <hyperlink ref="A27" location="'0801'!A1" display="0801" xr:uid="{D13763D5-CA8E-4AF1-A320-97347D77244E}"/>
    <hyperlink ref="AD51" r:id="rId6" xr:uid="{D068A7AE-FC1F-4173-8B68-93A591B87AB2}"/>
    <hyperlink ref="A69" location="'2104'!A1" display="'2104'!A1" xr:uid="{3124B7FA-01CB-41C4-8479-DA56AF712648}"/>
    <hyperlink ref="A20" location="'0604'!A1" display="0604" xr:uid="{49618E8A-A69C-43BF-BB1D-B281AE89C1EE}"/>
    <hyperlink ref="A51" location="'1505'!A1" display="'1505'!A1" xr:uid="{5DF6439A-DA9A-406F-89D1-A75DFA4315F2}"/>
    <hyperlink ref="A32" location="'1101'!A1" display="'1101'!A1" xr:uid="{79E83CD5-1A51-4F66-810B-31ECB2E7E568}"/>
    <hyperlink ref="A23" location="'0702'!A1" display="0702" xr:uid="{EC3338B0-3BA6-4838-8FA1-4F0F51BA9E64}"/>
    <hyperlink ref="A22" location="'0701'!A1" display="0701" xr:uid="{1567BA88-0B81-49FA-9344-9E19D456F022}"/>
    <hyperlink ref="A21" location="'0605'!A1" display="0605" xr:uid="{CAB6501D-B16E-421C-A48F-181C31676C74}"/>
    <hyperlink ref="A39" location="'1203'!A1" display="'1203'!A1" xr:uid="{67AEC4D1-F92B-4F65-8C40-7DF125A9F8A9}"/>
    <hyperlink ref="AD23" r:id="rId7" xr:uid="{CE832693-5B0C-4F15-8E8A-05DC24E56FF2}"/>
    <hyperlink ref="AM23" r:id="rId8" xr:uid="{9FCAEBCB-9ED7-4629-B5C3-0D54B8AB1491}"/>
    <hyperlink ref="A71" location="'2201'!A1" display="'2201'!A1" xr:uid="{2F12ED79-DDD7-41A9-9031-4A346E6165AA}"/>
    <hyperlink ref="A37" location="'1201'!A1" display="'1201'!A1" xr:uid="{559A5350-8A35-454A-8EA7-1F0C2BEF5FA0}"/>
    <hyperlink ref="AD57" r:id="rId9" xr:uid="{E8217C25-06FB-4D43-AA01-CDD89EE371F6}"/>
    <hyperlink ref="A28" location="'0802'!A1" display="0802" xr:uid="{D4EE759D-0F14-4325-BAF2-0A9882D19B84}"/>
    <hyperlink ref="A48" location="'1502'!A1" display="'1502'!A1" xr:uid="{27F03470-9924-4EAA-B62D-A89965B64412}"/>
    <hyperlink ref="AD32" r:id="rId10" xr:uid="{9D08FED9-6015-47AC-BD25-C5F29A37C080}"/>
    <hyperlink ref="AD20" r:id="rId11" xr:uid="{47C79DF2-44C7-46A8-8DAD-02BA501DC27F}"/>
    <hyperlink ref="AM28" r:id="rId12" xr:uid="{06FB12FC-F5BE-4E7E-A0DB-4584B0EC34E0}"/>
    <hyperlink ref="AD48" r:id="rId13" xr:uid="{43DA60D0-C7B2-4908-831F-AE0B8BEAC186}"/>
    <hyperlink ref="B1" location="Receipt!A1" display="Client Name" xr:uid="{A36257AC-2497-4836-9D47-4B038A4A3597}"/>
    <hyperlink ref="A59" location="'1703'!A1" display="'1703'!A1" xr:uid="{FD8F7490-9C3E-4939-A48C-7BA9F576F7A2}"/>
    <hyperlink ref="AD59" r:id="rId14" xr:uid="{A0E3C76A-F714-4A05-A69F-09E6F6E196A2}"/>
    <hyperlink ref="A68" location="'2103'!A1" display="'2103'!A1" xr:uid="{77A91DB1-36A7-4A2E-AA6D-E61C866B5634}"/>
    <hyperlink ref="AD68" r:id="rId15" xr:uid="{CA7AFB72-6ACD-45E1-93A7-4704CD9824EB}"/>
    <hyperlink ref="A26" location="'0705'!A1" display="0705" xr:uid="{A0FB285B-9752-400C-BCA2-B05082B218EB}"/>
    <hyperlink ref="AD26" r:id="rId16" xr:uid="{3B05B98E-39A8-4570-A7E9-3392C32B97E8}"/>
    <hyperlink ref="AD66" r:id="rId17" xr:uid="{69484704-3759-4D12-80F8-8872D37D5E8C}"/>
    <hyperlink ref="A66" location="'2005'!A1" display="'2005'!A1" xr:uid="{4CA0A721-2E99-4699-BA4B-9D503AFA6EAB}"/>
    <hyperlink ref="AD28" r:id="rId18" display="ravis138@rediffmail.com" xr:uid="{C01CFB32-8899-4255-9D58-9133159B698E}"/>
    <hyperlink ref="AD60" r:id="rId19" xr:uid="{C127D120-09EC-4556-8A14-A25A45FC6851}"/>
    <hyperlink ref="AD69" r:id="rId20" xr:uid="{9EDB4AC4-30B9-4104-88A1-F9A8B6E109BC}"/>
    <hyperlink ref="AD22" r:id="rId21" xr:uid="{8EDE5E68-A658-42E9-9058-25F8079AA36A}"/>
    <hyperlink ref="A75" location="'2205'!A1" display="'2205'!A1" xr:uid="{2815D993-5938-439D-A678-B9CFA1450C24}"/>
    <hyperlink ref="AD75" r:id="rId22" xr:uid="{0561439E-286E-43B0-A2E2-94FCB27CC652}"/>
    <hyperlink ref="A42" location="'1301'!A1" display="'1301'!A1" xr:uid="{649D1E8E-E012-4890-A3BB-1D16158A40A0}"/>
    <hyperlink ref="A11" location="'0305'!A1" display="0305" xr:uid="{A6EEBDDF-CBA4-4AF2-A052-3D35E910F9A7}"/>
    <hyperlink ref="A7" location="'0301'!A1" display="0301" xr:uid="{B39D1A0F-B061-4646-92C5-6C6FF5DEB65E}"/>
    <hyperlink ref="A53" location="'1602'!A1" display="'1602'!A1" xr:uid="{E48E7899-5B20-4CC5-9781-F369CB90CBE1}"/>
    <hyperlink ref="AD64" r:id="rId23" xr:uid="{E0D8C36B-8A3A-4F66-902F-551319D61630}"/>
    <hyperlink ref="AD49" r:id="rId24" xr:uid="{D4333BA1-6153-439F-9820-53E85945CC35}"/>
    <hyperlink ref="AD53" r:id="rId25" xr:uid="{B8064C46-27DF-42D8-B837-F8336C5A53F1}"/>
    <hyperlink ref="AD62" r:id="rId26" xr:uid="{071F3870-D2B0-4858-9350-86E52FA88870}"/>
    <hyperlink ref="AD71" r:id="rId27" xr:uid="{5AAB7793-66EB-468C-AE45-76C78B38BBFE}"/>
    <hyperlink ref="AM11" r:id="rId28" display="nandakumartv@gmail.com" xr:uid="{F8E32E1D-EFB1-4C62-AF08-936519726F3C}"/>
    <hyperlink ref="AD39" r:id="rId29" xr:uid="{B4FBE5A9-F324-400D-AFA8-D6278D09C537}"/>
    <hyperlink ref="AM42" r:id="rId30" xr:uid="{6259E0BC-B63F-42D3-A674-5C2324B8D77E}"/>
    <hyperlink ref="AD42" r:id="rId31" xr:uid="{B6CD9BBB-1993-4DDC-BDB9-10AE5F233A05}"/>
    <hyperlink ref="AD7" r:id="rId32" xr:uid="{C0305440-D49E-4AE8-8B44-81469C894539}"/>
    <hyperlink ref="AM7" r:id="rId33" xr:uid="{09E8B3FB-3150-4A64-A7AA-9E9098F71EEE}"/>
    <hyperlink ref="A17" location="'0601'!A1" display="0601" xr:uid="{5503F88B-CD6B-413A-B7B8-7BBCFF2A64F7}"/>
    <hyperlink ref="A33" location="'1102'!A1" display="'1102'!A1" xr:uid="{0BC9E628-5A7C-4AF3-800E-F3DB15E1FED6}"/>
    <hyperlink ref="AD33" r:id="rId34" xr:uid="{2F40A43F-F9A9-400C-9B00-5A50F9781622}"/>
    <hyperlink ref="A61" location="'1705'!A1" display="'1705'!A1" xr:uid="{56A9DB19-F649-4EE1-AEF1-D9EAAEAFD7B8}"/>
    <hyperlink ref="AD54" r:id="rId35" xr:uid="{82BF213A-A929-40C9-8A24-675E20640095}"/>
    <hyperlink ref="AM17" r:id="rId36" xr:uid="{2450C92F-385B-43B6-AB18-F3DB74F336A7}"/>
    <hyperlink ref="AD17" r:id="rId37" xr:uid="{D0DA13E0-A1E3-4EE4-A16F-811D481C3142}"/>
  </hyperlinks>
  <pageMargins left="0.7" right="0.7" top="0.75" bottom="0.75" header="0.3" footer="0.3"/>
  <pageSetup paperSize="9" orientation="portrait" horizontalDpi="0" verticalDpi="0" r:id="rId38"/>
  <ignoredErrors>
    <ignoredError sqref="T48" formula="1"/>
  </ignoredErrors>
  <legacyDrawing r:id="rId3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BEEC6-D4E2-4B89-8292-447CFA00FAA4}">
  <sheetPr codeName="Sheet4"/>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2" style="6" bestFit="1" customWidth="1"/>
    <col min="8" max="8" width="9.85546875" style="6" bestFit="1" customWidth="1"/>
    <col min="9" max="16384" width="11.42578125" style="6"/>
  </cols>
  <sheetData>
    <row r="1" spans="1:8">
      <c r="A1" s="166" t="str">
        <f>Data!B2</f>
        <v>JAYANTHI S</v>
      </c>
      <c r="B1" s="91"/>
      <c r="C1" s="91"/>
      <c r="D1" s="91"/>
      <c r="E1" s="92"/>
      <c r="F1" s="6">
        <f>Data!P2</f>
        <v>0</v>
      </c>
      <c r="G1" s="7"/>
      <c r="H1" s="8" t="str">
        <f>Data!AX2</f>
        <v>Builder</v>
      </c>
    </row>
    <row r="2" spans="1:8">
      <c r="A2" s="111" t="s">
        <v>105</v>
      </c>
      <c r="B2" s="111"/>
      <c r="C2" s="111"/>
      <c r="D2" s="111"/>
      <c r="E2" s="111"/>
      <c r="G2" s="9" t="s">
        <v>56</v>
      </c>
      <c r="H2" s="9" t="s">
        <v>57</v>
      </c>
    </row>
    <row r="3" spans="1:8">
      <c r="A3" s="116" t="s">
        <v>58</v>
      </c>
      <c r="B3" s="117" t="str">
        <f>Data!A2</f>
        <v>0201</v>
      </c>
      <c r="C3" s="118" t="s">
        <v>59</v>
      </c>
      <c r="D3" s="119" t="s">
        <v>106</v>
      </c>
      <c r="E3" s="129">
        <f>Data!F2-'0201'!E4</f>
        <v>11385000</v>
      </c>
      <c r="G3" s="10">
        <f>E7-H3</f>
        <v>11954250</v>
      </c>
      <c r="H3" s="10"/>
    </row>
    <row r="4" spans="1:8">
      <c r="A4" s="116" t="s">
        <v>60</v>
      </c>
      <c r="B4" s="120" t="str">
        <f>Data!C2</f>
        <v>Tower-1</v>
      </c>
      <c r="C4" s="121" t="s">
        <v>61</v>
      </c>
      <c r="D4" s="122" t="s">
        <v>106</v>
      </c>
      <c r="E4" s="130">
        <f>(Data!F2*5)/105</f>
        <v>569250</v>
      </c>
      <c r="F4" s="7" t="s">
        <v>62</v>
      </c>
      <c r="G4" s="10">
        <f>G3-E18</f>
        <v>11854250</v>
      </c>
      <c r="H4" s="10">
        <f>H3-D18</f>
        <v>0</v>
      </c>
    </row>
    <row r="5" spans="1:8">
      <c r="A5" s="116" t="s">
        <v>63</v>
      </c>
      <c r="B5" s="123">
        <f>Data!E2</f>
        <v>1265</v>
      </c>
      <c r="C5" s="124" t="s">
        <v>52</v>
      </c>
      <c r="D5" s="125" t="s">
        <v>106</v>
      </c>
      <c r="E5" s="129">
        <f>SUM(E3:E4)</f>
        <v>11954250</v>
      </c>
    </row>
    <row r="6" spans="1:8">
      <c r="A6" s="116" t="s">
        <v>34</v>
      </c>
      <c r="B6" s="123" t="str">
        <f>Data!D2</f>
        <v>2 BHK</v>
      </c>
      <c r="C6" s="80" t="s">
        <v>64</v>
      </c>
      <c r="D6" s="119" t="s">
        <v>106</v>
      </c>
      <c r="E6" s="130">
        <v>0</v>
      </c>
    </row>
    <row r="7" spans="1:8">
      <c r="A7" s="116" t="s">
        <v>65</v>
      </c>
      <c r="B7" s="126" t="str">
        <f>Data!V2</f>
        <v>RRL PAB001</v>
      </c>
      <c r="C7" s="127" t="s">
        <v>66</v>
      </c>
      <c r="D7" s="128" t="s">
        <v>106</v>
      </c>
      <c r="E7" s="131">
        <f>ROUND(SUM(E5:E6),0)</f>
        <v>11954250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2390850</v>
      </c>
      <c r="C11" s="114" t="s">
        <v>217</v>
      </c>
      <c r="D11" s="115">
        <v>0</v>
      </c>
      <c r="E11" s="115">
        <v>100000</v>
      </c>
      <c r="F11" s="4" t="s">
        <v>200</v>
      </c>
    </row>
    <row r="12" spans="1:8">
      <c r="A12" s="112" t="s">
        <v>73</v>
      </c>
      <c r="B12" s="113">
        <f>$E$7*20%</f>
        <v>2390850</v>
      </c>
      <c r="C12" s="114"/>
      <c r="D12" s="115"/>
      <c r="E12" s="115"/>
    </row>
    <row r="13" spans="1:8">
      <c r="A13" s="112" t="s">
        <v>74</v>
      </c>
      <c r="B13" s="113">
        <f>$E$7*20%</f>
        <v>2390850</v>
      </c>
      <c r="C13" s="114"/>
      <c r="D13" s="115"/>
      <c r="E13" s="115"/>
      <c r="F13" s="11"/>
    </row>
    <row r="14" spans="1:8">
      <c r="A14" s="112" t="s">
        <v>75</v>
      </c>
      <c r="B14" s="113">
        <f>$E$7*15%</f>
        <v>1793137.5</v>
      </c>
      <c r="C14" s="114"/>
      <c r="D14" s="115"/>
      <c r="E14" s="115"/>
      <c r="F14" s="11"/>
    </row>
    <row r="15" spans="1:8">
      <c r="A15" s="112" t="s">
        <v>185</v>
      </c>
      <c r="B15" s="113">
        <f>$E$7*5%</f>
        <v>597712.5</v>
      </c>
      <c r="C15" s="114"/>
      <c r="D15" s="115"/>
      <c r="E15" s="115"/>
      <c r="F15" s="11"/>
    </row>
    <row r="16" spans="1:8">
      <c r="A16" s="112" t="s">
        <v>184</v>
      </c>
      <c r="B16" s="113">
        <f>$E$7*15%</f>
        <v>1793137.5</v>
      </c>
      <c r="C16" s="114"/>
      <c r="D16" s="115"/>
      <c r="E16" s="115"/>
      <c r="F16" s="11"/>
    </row>
    <row r="17" spans="1:8">
      <c r="A17" s="112" t="s">
        <v>76</v>
      </c>
      <c r="B17" s="113">
        <f>$E$7*5%</f>
        <v>597712.5</v>
      </c>
      <c r="C17" s="114"/>
      <c r="D17" s="115"/>
      <c r="E17" s="115"/>
      <c r="F17" s="11"/>
    </row>
    <row r="18" spans="1:8">
      <c r="A18" s="93"/>
      <c r="B18" s="94"/>
      <c r="C18" s="95" t="s">
        <v>77</v>
      </c>
      <c r="D18" s="96">
        <f>SUM(D11:D17)</f>
        <v>0</v>
      </c>
      <c r="E18" s="97">
        <f>SUM(E11:E17)</f>
        <v>100000</v>
      </c>
    </row>
    <row r="19" spans="1:8">
      <c r="A19" s="98"/>
      <c r="B19" s="99"/>
      <c r="C19" s="100"/>
      <c r="D19" s="101" t="s">
        <v>78</v>
      </c>
      <c r="E19" s="164">
        <f>D18+E18</f>
        <v>100000</v>
      </c>
    </row>
    <row r="20" spans="1:8" ht="16.5" thickBot="1">
      <c r="A20" s="102"/>
      <c r="B20" s="103"/>
      <c r="C20" s="100"/>
      <c r="D20" s="101" t="s">
        <v>79</v>
      </c>
      <c r="E20" s="165">
        <f>E7-E19</f>
        <v>11854250</v>
      </c>
    </row>
    <row r="21" spans="1:8" ht="16.5" thickTop="1">
      <c r="A21" s="98" t="str">
        <f>IF(B7="","","NOTE: "&amp;Data!R2)</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100000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100000</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100000</v>
      </c>
    </row>
    <row r="39" spans="1:8" ht="16.5" thickBot="1">
      <c r="C39" s="17" t="s">
        <v>95</v>
      </c>
      <c r="D39" s="23">
        <f>D37-E37</f>
        <v>-46262.8</v>
      </c>
      <c r="E39" s="24"/>
    </row>
    <row r="40" spans="1:8" ht="16.5" thickTop="1"/>
  </sheetData>
  <mergeCells count="4">
    <mergeCell ref="A9:A10"/>
    <mergeCell ref="B9:B10"/>
    <mergeCell ref="C9:C10"/>
    <mergeCell ref="D9:E9"/>
  </mergeCells>
  <hyperlinks>
    <hyperlink ref="A2:E2" location="Data!A1" display="PROJECT   NAME :  RRL PALACIO" xr:uid="{72FE16AF-A86F-4AB9-B449-AB1421C3332D}"/>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DC5050-F5AF-490D-91E6-2678AD781820}">
  <sheetPr codeName="Sheet6"/>
  <dimension ref="A1:H40"/>
  <sheetViews>
    <sheetView zoomScale="130" zoomScaleNormal="130" workbookViewId="0">
      <selection activeCell="E4" sqref="E4"/>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Data!B3</f>
        <v>0</v>
      </c>
      <c r="B1" s="91"/>
      <c r="C1" s="91"/>
      <c r="D1" s="91"/>
      <c r="E1" s="92"/>
      <c r="F1" s="6">
        <f>Data!P3</f>
        <v>0</v>
      </c>
      <c r="G1" s="7"/>
      <c r="H1" s="8" t="str">
        <f>Data!AX3</f>
        <v>Builder</v>
      </c>
    </row>
    <row r="2" spans="1:8">
      <c r="A2" s="111" t="s">
        <v>105</v>
      </c>
      <c r="B2" s="111"/>
      <c r="C2" s="111"/>
      <c r="D2" s="111"/>
      <c r="E2" s="111"/>
      <c r="G2" s="9" t="s">
        <v>56</v>
      </c>
      <c r="H2" s="9" t="s">
        <v>57</v>
      </c>
    </row>
    <row r="3" spans="1:8">
      <c r="A3" s="116" t="s">
        <v>58</v>
      </c>
      <c r="B3" s="117" t="str">
        <f>Data!A3</f>
        <v>0202</v>
      </c>
      <c r="C3" s="118" t="s">
        <v>59</v>
      </c>
      <c r="D3" s="119" t="s">
        <v>106</v>
      </c>
      <c r="E3" s="129">
        <f>Data!F3-'0202'!E4</f>
        <v>0</v>
      </c>
      <c r="G3" s="10">
        <f>E7-H3</f>
        <v>0</v>
      </c>
      <c r="H3" s="10"/>
    </row>
    <row r="4" spans="1:8">
      <c r="A4" s="116" t="s">
        <v>60</v>
      </c>
      <c r="B4" s="120" t="str">
        <f>Data!C3</f>
        <v>Tower-1</v>
      </c>
      <c r="C4" s="121" t="s">
        <v>61</v>
      </c>
      <c r="D4" s="122" t="s">
        <v>106</v>
      </c>
      <c r="E4" s="130">
        <f>(Data!F3*5)/105</f>
        <v>0</v>
      </c>
      <c r="F4" s="7" t="s">
        <v>62</v>
      </c>
      <c r="G4" s="10">
        <f>G3-E18</f>
        <v>0</v>
      </c>
      <c r="H4" s="10">
        <f>H3-D18</f>
        <v>0</v>
      </c>
    </row>
    <row r="5" spans="1:8">
      <c r="A5" s="116" t="s">
        <v>63</v>
      </c>
      <c r="B5" s="123">
        <f>Data!E3</f>
        <v>1495</v>
      </c>
      <c r="C5" s="124" t="s">
        <v>52</v>
      </c>
      <c r="D5" s="125" t="s">
        <v>106</v>
      </c>
      <c r="E5" s="129">
        <f>SUM(E3:E4)</f>
        <v>0</v>
      </c>
    </row>
    <row r="6" spans="1:8">
      <c r="A6" s="116" t="s">
        <v>34</v>
      </c>
      <c r="B6" s="123" t="str">
        <f>Data!D3</f>
        <v>3 BHK</v>
      </c>
      <c r="C6" s="80" t="s">
        <v>64</v>
      </c>
      <c r="D6" s="119" t="s">
        <v>106</v>
      </c>
      <c r="E6" s="130">
        <v>0</v>
      </c>
    </row>
    <row r="7" spans="1:8">
      <c r="A7" s="116" t="s">
        <v>65</v>
      </c>
      <c r="B7" s="126">
        <f>Data!V3</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"&amp;Data!R3)</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89D85A23-AA3C-42B6-BDD9-CAB866C4737F}"/>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72A30-2A7F-4F64-9E0F-E3D071F8AC64}">
  <sheetPr codeName="Sheet5"/>
  <dimension ref="A1:H40"/>
  <sheetViews>
    <sheetView zoomScale="130" zoomScaleNormal="130" workbookViewId="0">
      <selection activeCell="E4" sqref="E4"/>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Data!B4</f>
        <v>0</v>
      </c>
      <c r="B1" s="91"/>
      <c r="C1" s="91"/>
      <c r="D1" s="91"/>
      <c r="E1" s="92"/>
      <c r="F1" s="6">
        <f>Data!P4</f>
        <v>0</v>
      </c>
      <c r="G1" s="7"/>
      <c r="H1" s="8" t="str">
        <f>Data!AX4</f>
        <v>Builder</v>
      </c>
    </row>
    <row r="2" spans="1:8">
      <c r="A2" s="111" t="s">
        <v>105</v>
      </c>
      <c r="B2" s="111"/>
      <c r="C2" s="111"/>
      <c r="D2" s="111"/>
      <c r="E2" s="111"/>
      <c r="G2" s="9" t="s">
        <v>56</v>
      </c>
      <c r="H2" s="9" t="s">
        <v>57</v>
      </c>
    </row>
    <row r="3" spans="1:8">
      <c r="A3" s="116" t="s">
        <v>58</v>
      </c>
      <c r="B3" s="117" t="str">
        <f>Data!A4</f>
        <v>0203</v>
      </c>
      <c r="C3" s="118" t="s">
        <v>59</v>
      </c>
      <c r="D3" s="119" t="s">
        <v>106</v>
      </c>
      <c r="E3" s="129">
        <f>Data!F4-'0203'!E4</f>
        <v>0</v>
      </c>
      <c r="G3" s="10">
        <f>E7-H3</f>
        <v>0</v>
      </c>
      <c r="H3" s="10"/>
    </row>
    <row r="4" spans="1:8">
      <c r="A4" s="116" t="s">
        <v>60</v>
      </c>
      <c r="B4" s="120" t="str">
        <f>Data!C4</f>
        <v>Tower-1</v>
      </c>
      <c r="C4" s="121" t="s">
        <v>61</v>
      </c>
      <c r="D4" s="122" t="s">
        <v>106</v>
      </c>
      <c r="E4" s="130">
        <f>(Data!F4*5)/105</f>
        <v>0</v>
      </c>
      <c r="F4" s="7" t="s">
        <v>62</v>
      </c>
      <c r="G4" s="10">
        <f>G3-E18</f>
        <v>0</v>
      </c>
      <c r="H4" s="10">
        <f>H3-D18</f>
        <v>0</v>
      </c>
    </row>
    <row r="5" spans="1:8">
      <c r="A5" s="116" t="s">
        <v>63</v>
      </c>
      <c r="B5" s="123">
        <f>Data!E4</f>
        <v>1630</v>
      </c>
      <c r="C5" s="124" t="s">
        <v>52</v>
      </c>
      <c r="D5" s="125" t="s">
        <v>106</v>
      </c>
      <c r="E5" s="129">
        <f>SUM(E3:E4)</f>
        <v>0</v>
      </c>
    </row>
    <row r="6" spans="1:8">
      <c r="A6" s="116" t="s">
        <v>34</v>
      </c>
      <c r="B6" s="123" t="str">
        <f>Data!D4</f>
        <v>3 BHK</v>
      </c>
      <c r="C6" s="80" t="s">
        <v>64</v>
      </c>
      <c r="D6" s="119" t="s">
        <v>106</v>
      </c>
      <c r="E6" s="130">
        <v>0</v>
      </c>
    </row>
    <row r="7" spans="1:8">
      <c r="A7" s="116" t="s">
        <v>65</v>
      </c>
      <c r="B7" s="126">
        <f>Data!V4</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"&amp;Data!R4)</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0</v>
      </c>
    </row>
    <row r="39" spans="1:8" ht="16.5" thickBot="1">
      <c r="C39" s="17" t="s">
        <v>95</v>
      </c>
      <c r="D39" s="23">
        <f>D37-E37</f>
        <v>69242.399999999994</v>
      </c>
      <c r="E39" s="24"/>
    </row>
    <row r="40" spans="1:8" ht="16.5" thickTop="1"/>
  </sheetData>
  <mergeCells count="4">
    <mergeCell ref="A9:A10"/>
    <mergeCell ref="B9:B10"/>
    <mergeCell ref="C9:C10"/>
    <mergeCell ref="D9:E9"/>
  </mergeCells>
  <hyperlinks>
    <hyperlink ref="A2:E2" location="Data!A1" display="PROJECT   NAME :  RRL PALACIO" xr:uid="{25B8767F-D02E-4EE2-843B-4B2B887CDC11}"/>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F212A-EFF3-4974-9BC4-AB156A72D694}">
  <sheetPr codeName="Sheet7"/>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Data!B5</f>
        <v>0</v>
      </c>
      <c r="B1" s="91"/>
      <c r="C1" s="91"/>
      <c r="D1" s="91"/>
      <c r="E1" s="92"/>
      <c r="F1" s="6">
        <f>Data!P5</f>
        <v>0</v>
      </c>
      <c r="G1" s="7"/>
      <c r="H1" s="8" t="str">
        <f>Data!AX5</f>
        <v>Builder</v>
      </c>
    </row>
    <row r="2" spans="1:8">
      <c r="A2" s="111" t="s">
        <v>105</v>
      </c>
      <c r="B2" s="111"/>
      <c r="C2" s="111"/>
      <c r="D2" s="111"/>
      <c r="E2" s="111"/>
      <c r="G2" s="9" t="s">
        <v>56</v>
      </c>
      <c r="H2" s="9" t="s">
        <v>57</v>
      </c>
    </row>
    <row r="3" spans="1:8">
      <c r="A3" s="116" t="s">
        <v>58</v>
      </c>
      <c r="B3" s="117" t="str">
        <f>Data!A5</f>
        <v>0204</v>
      </c>
      <c r="C3" s="118" t="s">
        <v>59</v>
      </c>
      <c r="D3" s="119" t="s">
        <v>106</v>
      </c>
      <c r="E3" s="129">
        <f>Data!F5-'0204'!E4</f>
        <v>0</v>
      </c>
      <c r="G3" s="10">
        <f>E7-H3</f>
        <v>0</v>
      </c>
      <c r="H3" s="10"/>
    </row>
    <row r="4" spans="1:8">
      <c r="A4" s="116" t="s">
        <v>60</v>
      </c>
      <c r="B4" s="120" t="str">
        <f>Data!C5</f>
        <v>Tower-1</v>
      </c>
      <c r="C4" s="121" t="s">
        <v>61</v>
      </c>
      <c r="D4" s="122" t="s">
        <v>106</v>
      </c>
      <c r="E4" s="130">
        <f>(Data!F5*5)/105</f>
        <v>0</v>
      </c>
      <c r="F4" s="7" t="s">
        <v>62</v>
      </c>
      <c r="G4" s="10">
        <f>G3-E18</f>
        <v>0</v>
      </c>
      <c r="H4" s="10">
        <f>H3-D18</f>
        <v>0</v>
      </c>
    </row>
    <row r="5" spans="1:8">
      <c r="A5" s="116" t="s">
        <v>63</v>
      </c>
      <c r="B5" s="123">
        <f>Data!E5</f>
        <v>1560</v>
      </c>
      <c r="C5" s="124" t="s">
        <v>52</v>
      </c>
      <c r="D5" s="125" t="s">
        <v>106</v>
      </c>
      <c r="E5" s="129">
        <f>SUM(E3:E4)</f>
        <v>0</v>
      </c>
    </row>
    <row r="6" spans="1:8">
      <c r="A6" s="116" t="s">
        <v>34</v>
      </c>
      <c r="B6" s="123" t="str">
        <f>Data!D5</f>
        <v>3 BHK</v>
      </c>
      <c r="C6" s="80" t="s">
        <v>64</v>
      </c>
      <c r="D6" s="119" t="s">
        <v>106</v>
      </c>
      <c r="E6" s="130">
        <v>0</v>
      </c>
    </row>
    <row r="7" spans="1:8">
      <c r="A7" s="116" t="s">
        <v>65</v>
      </c>
      <c r="B7" s="126">
        <f>Data!V5</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"&amp;Data!R5)</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56160</v>
      </c>
      <c r="E31" s="16" t="str">
        <f>IF(D31="","Maintenance will be paid to Association","")</f>
        <v/>
      </c>
      <c r="F31" s="6"/>
      <c r="G31" s="6"/>
      <c r="H31" s="6"/>
    </row>
    <row r="32" spans="1:8" s="15" customFormat="1">
      <c r="A32" s="6"/>
      <c r="B32" s="6"/>
      <c r="C32" s="7" t="s">
        <v>89</v>
      </c>
      <c r="D32" s="19">
        <f>IF(D31="","",D31*18%)</f>
        <v>10108.799999999999</v>
      </c>
      <c r="E32" s="20"/>
      <c r="F32" s="6"/>
      <c r="G32" s="6"/>
      <c r="H32" s="6"/>
    </row>
    <row r="33" spans="1:8" s="15" customFormat="1">
      <c r="A33" s="6"/>
      <c r="B33" s="6"/>
      <c r="C33" s="17" t="s">
        <v>90</v>
      </c>
      <c r="D33" s="13">
        <f>SUM(D31:D32)</f>
        <v>66268.800000000003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66268.800000000003</v>
      </c>
      <c r="E37" s="22">
        <f>SUM(E34:E36)+E33+E30</f>
        <v>0</v>
      </c>
    </row>
    <row r="39" spans="1:8" ht="16.5" thickBot="1">
      <c r="C39" s="17" t="s">
        <v>95</v>
      </c>
      <c r="D39" s="23">
        <f>D37-E37</f>
        <v>66268.800000000003</v>
      </c>
      <c r="E39" s="24"/>
    </row>
    <row r="40" spans="1:8" ht="16.5" thickTop="1"/>
  </sheetData>
  <mergeCells count="4">
    <mergeCell ref="A9:A10"/>
    <mergeCell ref="B9:B10"/>
    <mergeCell ref="C9:C10"/>
    <mergeCell ref="D9:E9"/>
  </mergeCells>
  <hyperlinks>
    <hyperlink ref="A2:E2" location="Data!A1" display="PROJECT   NAME :  RRL PALACIO" xr:uid="{74C2E5F3-DBA6-4B15-B9AD-82DC3A0AB630}"/>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C0D98-BEF4-48D6-8CCA-4D333433C4DB}">
  <sheetPr codeName="Sheet8"/>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Data!B6</f>
        <v>0</v>
      </c>
      <c r="B1" s="91"/>
      <c r="C1" s="91"/>
      <c r="D1" s="91"/>
      <c r="E1" s="92"/>
      <c r="F1" s="6">
        <f>Data!P6</f>
        <v>0</v>
      </c>
      <c r="G1" s="7"/>
      <c r="H1" s="8" t="str">
        <f>Data!AX6</f>
        <v>Builder</v>
      </c>
    </row>
    <row r="2" spans="1:8">
      <c r="A2" s="111" t="s">
        <v>105</v>
      </c>
      <c r="B2" s="111"/>
      <c r="C2" s="111"/>
      <c r="D2" s="111"/>
      <c r="E2" s="111"/>
      <c r="G2" s="9" t="s">
        <v>56</v>
      </c>
      <c r="H2" s="9" t="s">
        <v>57</v>
      </c>
    </row>
    <row r="3" spans="1:8">
      <c r="A3" s="116" t="s">
        <v>58</v>
      </c>
      <c r="B3" s="117" t="str">
        <f>Data!A6</f>
        <v>0205</v>
      </c>
      <c r="C3" s="118" t="s">
        <v>59</v>
      </c>
      <c r="D3" s="119" t="s">
        <v>106</v>
      </c>
      <c r="E3" s="129">
        <f>Data!F6-'0205'!E4</f>
        <v>0</v>
      </c>
      <c r="G3" s="10">
        <f>E7-H3</f>
        <v>0</v>
      </c>
      <c r="H3" s="10"/>
    </row>
    <row r="4" spans="1:8">
      <c r="A4" s="116" t="s">
        <v>60</v>
      </c>
      <c r="B4" s="120" t="str">
        <f>Data!C6</f>
        <v>Tower-1</v>
      </c>
      <c r="C4" s="121" t="s">
        <v>61</v>
      </c>
      <c r="D4" s="122" t="s">
        <v>106</v>
      </c>
      <c r="E4" s="130">
        <f>(Data!F6*5)/105</f>
        <v>0</v>
      </c>
      <c r="F4" s="7" t="s">
        <v>62</v>
      </c>
      <c r="G4" s="10">
        <f>G3-E18</f>
        <v>0</v>
      </c>
      <c r="H4" s="10">
        <f>H3-D18</f>
        <v>0</v>
      </c>
    </row>
    <row r="5" spans="1:8">
      <c r="A5" s="116" t="s">
        <v>63</v>
      </c>
      <c r="B5" s="123">
        <f>Data!E6</f>
        <v>1510</v>
      </c>
      <c r="C5" s="124" t="s">
        <v>52</v>
      </c>
      <c r="D5" s="125" t="s">
        <v>106</v>
      </c>
      <c r="E5" s="129">
        <f>SUM(E3:E4)</f>
        <v>0</v>
      </c>
    </row>
    <row r="6" spans="1:8">
      <c r="A6" s="116" t="s">
        <v>34</v>
      </c>
      <c r="B6" s="123" t="str">
        <f>Data!D6</f>
        <v>3 BHK</v>
      </c>
      <c r="C6" s="80" t="s">
        <v>64</v>
      </c>
      <c r="D6" s="119" t="s">
        <v>106</v>
      </c>
      <c r="E6" s="130">
        <v>0</v>
      </c>
    </row>
    <row r="7" spans="1:8">
      <c r="A7" s="116" t="s">
        <v>65</v>
      </c>
      <c r="B7" s="126">
        <f>Data!V6</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"&amp;Data!R6)</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0</v>
      </c>
    </row>
    <row r="39" spans="1:8" ht="16.5" thickBot="1">
      <c r="C39" s="17" t="s">
        <v>95</v>
      </c>
      <c r="D39" s="23">
        <f>D37-E37</f>
        <v>64144.800000000003</v>
      </c>
      <c r="E39" s="24"/>
    </row>
    <row r="40" spans="1:8" ht="16.5" thickTop="1"/>
  </sheetData>
  <mergeCells count="4">
    <mergeCell ref="A9:A10"/>
    <mergeCell ref="B9:B10"/>
    <mergeCell ref="C9:C10"/>
    <mergeCell ref="D9:E9"/>
  </mergeCells>
  <hyperlinks>
    <hyperlink ref="A2:E2" location="Data!A1" display="PROJECT   NAME :  RRL PALACIO" xr:uid="{7B33C3B3-708E-4198-97D2-D530504C734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2359D-D3EB-4BED-A1BE-1410061A042B}">
  <sheetPr codeName="Sheet9"/>
  <dimension ref="A1:H41"/>
  <sheetViews>
    <sheetView zoomScaleNormal="10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Data!B7</f>
        <v>SOVARAJ PRUSTY AND SAVITA DATTATRAY AVHAD</v>
      </c>
      <c r="B1" s="91"/>
      <c r="C1" s="91"/>
      <c r="D1" s="91"/>
      <c r="E1" s="92"/>
      <c r="F1" s="6" t="str">
        <f>Data!P7</f>
        <v>SBI</v>
      </c>
      <c r="G1" s="7"/>
      <c r="H1" s="8" t="str">
        <f>Data!AX7</f>
        <v>Builder</v>
      </c>
    </row>
    <row r="2" spans="1:8">
      <c r="A2" s="111" t="s">
        <v>105</v>
      </c>
      <c r="B2" s="111"/>
      <c r="C2" s="111"/>
      <c r="D2" s="111"/>
      <c r="E2" s="111"/>
      <c r="G2" s="9" t="s">
        <v>56</v>
      </c>
      <c r="H2" s="9" t="s">
        <v>57</v>
      </c>
    </row>
    <row r="3" spans="1:8">
      <c r="A3" s="116" t="s">
        <v>58</v>
      </c>
      <c r="B3" s="117" t="str">
        <f>Data!A7</f>
        <v>0301</v>
      </c>
      <c r="C3" s="118" t="s">
        <v>59</v>
      </c>
      <c r="D3" s="119" t="s">
        <v>106</v>
      </c>
      <c r="E3" s="129">
        <f>Data!F7-'0301'!E4</f>
        <v>8222500</v>
      </c>
      <c r="G3" s="10">
        <f>E7-H3</f>
        <v>8633625</v>
      </c>
      <c r="H3" s="10"/>
    </row>
    <row r="4" spans="1:8">
      <c r="A4" s="116" t="s">
        <v>60</v>
      </c>
      <c r="B4" s="120" t="str">
        <f>Data!C7</f>
        <v>Tower-1</v>
      </c>
      <c r="C4" s="121" t="s">
        <v>61</v>
      </c>
      <c r="D4" s="122" t="s">
        <v>106</v>
      </c>
      <c r="E4" s="130">
        <f>(Data!F7*5)/105</f>
        <v>411125</v>
      </c>
      <c r="F4" s="7" t="s">
        <v>62</v>
      </c>
      <c r="G4" s="10">
        <f>G3-E19</f>
        <v>6906900</v>
      </c>
      <c r="H4" s="10">
        <f>H3-D19</f>
        <v>0</v>
      </c>
    </row>
    <row r="5" spans="1:8">
      <c r="A5" s="116" t="s">
        <v>63</v>
      </c>
      <c r="B5" s="123">
        <f>Data!E7</f>
        <v>1265</v>
      </c>
      <c r="C5" s="124" t="s">
        <v>52</v>
      </c>
      <c r="D5" s="125" t="s">
        <v>106</v>
      </c>
      <c r="E5" s="129">
        <f>SUM(E3:E4)</f>
        <v>8633625</v>
      </c>
    </row>
    <row r="6" spans="1:8">
      <c r="A6" s="116" t="s">
        <v>34</v>
      </c>
      <c r="B6" s="123" t="str">
        <f>Data!D7</f>
        <v>2 BHK</v>
      </c>
      <c r="C6" s="80" t="s">
        <v>64</v>
      </c>
      <c r="D6" s="119" t="s">
        <v>106</v>
      </c>
      <c r="E6" s="130">
        <v>0</v>
      </c>
    </row>
    <row r="7" spans="1:8">
      <c r="A7" s="116" t="s">
        <v>65</v>
      </c>
      <c r="B7" s="126" t="str">
        <f>Data!V7</f>
        <v>RRL PAB035</v>
      </c>
      <c r="C7" s="127" t="s">
        <v>66</v>
      </c>
      <c r="D7" s="128" t="s">
        <v>106</v>
      </c>
      <c r="E7" s="131">
        <f>ROUND(SUM(E5:E6),0)</f>
        <v>8633625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1726725</v>
      </c>
      <c r="C11" s="114" t="s">
        <v>587</v>
      </c>
      <c r="D11" s="115">
        <v>0</v>
      </c>
      <c r="E11" s="115">
        <v>200000</v>
      </c>
      <c r="F11" s="4" t="s">
        <v>585</v>
      </c>
    </row>
    <row r="12" spans="1:8">
      <c r="A12" s="112" t="s">
        <v>73</v>
      </c>
      <c r="B12" s="113">
        <f>$E$7*20%</f>
        <v>1726725</v>
      </c>
      <c r="C12" s="114" t="s">
        <v>690</v>
      </c>
      <c r="D12" s="115">
        <v>0</v>
      </c>
      <c r="E12" s="115">
        <v>-200000</v>
      </c>
    </row>
    <row r="13" spans="1:8">
      <c r="A13" s="112" t="s">
        <v>74</v>
      </c>
      <c r="B13" s="113">
        <f>$E$7*20%</f>
        <v>1726725</v>
      </c>
      <c r="C13" s="114" t="s">
        <v>795</v>
      </c>
      <c r="D13" s="115">
        <v>0</v>
      </c>
      <c r="E13" s="115">
        <v>98000</v>
      </c>
      <c r="F13" s="4" t="s">
        <v>772</v>
      </c>
    </row>
    <row r="14" spans="1:8">
      <c r="A14" s="112" t="s">
        <v>75</v>
      </c>
      <c r="B14" s="113">
        <f>$E$7*15%</f>
        <v>1295043.75</v>
      </c>
      <c r="C14" s="114" t="s">
        <v>794</v>
      </c>
      <c r="D14" s="115">
        <v>0</v>
      </c>
      <c r="E14" s="115">
        <v>102000</v>
      </c>
      <c r="F14" s="4" t="s">
        <v>797</v>
      </c>
    </row>
    <row r="15" spans="1:8">
      <c r="A15" s="112" t="s">
        <v>185</v>
      </c>
      <c r="B15" s="113">
        <f>$E$7*5%</f>
        <v>431681.25</v>
      </c>
      <c r="C15" s="114" t="s">
        <v>837</v>
      </c>
      <c r="D15" s="115">
        <v>0</v>
      </c>
      <c r="E15" s="115">
        <v>1526725</v>
      </c>
      <c r="F15" s="4" t="s">
        <v>851</v>
      </c>
    </row>
    <row r="16" spans="1:8">
      <c r="A16" s="112" t="s">
        <v>184</v>
      </c>
      <c r="B16" s="113">
        <f>$E$7*15%</f>
        <v>1295043.75</v>
      </c>
      <c r="C16" s="114"/>
      <c r="D16" s="115">
        <v>0</v>
      </c>
      <c r="E16" s="115"/>
      <c r="F16" s="11"/>
    </row>
    <row r="17" spans="1:8">
      <c r="A17" s="112" t="s">
        <v>76</v>
      </c>
      <c r="B17" s="113">
        <f>$E$7*5%</f>
        <v>431681.25</v>
      </c>
      <c r="C17" s="114"/>
      <c r="D17" s="115">
        <v>0</v>
      </c>
      <c r="E17" s="115"/>
      <c r="F17" s="11"/>
    </row>
    <row r="18" spans="1:8">
      <c r="A18" s="112"/>
      <c r="B18" s="113"/>
      <c r="C18" s="114"/>
      <c r="D18" s="115">
        <v>0</v>
      </c>
      <c r="E18" s="115"/>
      <c r="F18" s="11"/>
    </row>
    <row r="19" spans="1:8">
      <c r="A19" s="93"/>
      <c r="B19" s="94"/>
      <c r="C19" s="95" t="s">
        <v>77</v>
      </c>
      <c r="D19" s="96">
        <f>SUM(D11:D18)</f>
        <v>0</v>
      </c>
      <c r="E19" s="97">
        <f>SUM(E11:E18)</f>
        <v>1726725</v>
      </c>
    </row>
    <row r="20" spans="1:8">
      <c r="A20" s="98"/>
      <c r="B20" s="99"/>
      <c r="C20" s="100"/>
      <c r="D20" s="101" t="s">
        <v>78</v>
      </c>
      <c r="E20" s="164">
        <f>D19+E19</f>
        <v>1726725</v>
      </c>
    </row>
    <row r="21" spans="1:8" ht="16.5" thickBot="1">
      <c r="A21" s="102"/>
      <c r="B21" s="103"/>
      <c r="C21" s="100"/>
      <c r="D21" s="101" t="s">
        <v>79</v>
      </c>
      <c r="E21" s="165">
        <f>E7-E20</f>
        <v>6906900</v>
      </c>
    </row>
    <row r="22" spans="1:8" ht="16.5" thickTop="1">
      <c r="A22" s="98" t="str">
        <f>IF(B7="","","NOTE: "&amp;Data!R7)</f>
        <v>NOTE: EXCLUDING MAINTENANCE &amp; 18% GST</v>
      </c>
      <c r="B22" s="99"/>
      <c r="C22" s="99"/>
      <c r="D22" s="99"/>
      <c r="E22" s="104"/>
    </row>
    <row r="23" spans="1:8">
      <c r="A23" s="105"/>
      <c r="B23" s="106"/>
      <c r="C23" s="106"/>
      <c r="D23" s="106"/>
      <c r="E23" s="107"/>
    </row>
    <row r="25" spans="1:8">
      <c r="D25" s="13" t="s">
        <v>80</v>
      </c>
      <c r="E25" s="14" t="s">
        <v>81</v>
      </c>
    </row>
    <row r="26" spans="1:8">
      <c r="C26" s="7" t="s">
        <v>82</v>
      </c>
      <c r="E26" s="16">
        <f>E20</f>
        <v>1726725</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1726725</v>
      </c>
      <c r="F31" s="6"/>
      <c r="G31" s="6"/>
      <c r="H31" s="6"/>
    </row>
    <row r="32" spans="1:8" s="15" customFormat="1">
      <c r="A32" s="6"/>
      <c r="B32" s="6"/>
      <c r="C32" s="7" t="s">
        <v>88</v>
      </c>
      <c r="D32" s="12">
        <f>B5*3*12</f>
        <v>45540</v>
      </c>
      <c r="E32" s="16" t="str">
        <f>IF(D32="","Maintenance will be paid to Association","")</f>
        <v/>
      </c>
      <c r="F32" s="6"/>
      <c r="G32" s="6"/>
      <c r="H32" s="6"/>
    </row>
    <row r="33" spans="1:8" s="15" customFormat="1">
      <c r="A33" s="6"/>
      <c r="B33" s="6"/>
      <c r="C33" s="7" t="s">
        <v>89</v>
      </c>
      <c r="D33" s="19">
        <f>IF(D32="","",D32*18%)</f>
        <v>8197.1999999999989</v>
      </c>
      <c r="E33" s="20"/>
      <c r="F33" s="6"/>
      <c r="G33" s="6"/>
      <c r="H33" s="6"/>
    </row>
    <row r="34" spans="1:8" s="15" customFormat="1">
      <c r="A34" s="6"/>
      <c r="B34" s="6"/>
      <c r="C34" s="17" t="s">
        <v>90</v>
      </c>
      <c r="D34" s="13">
        <f>SUM(D32:D33)</f>
        <v>53737.2</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53737.2</v>
      </c>
      <c r="E38" s="22">
        <f>SUM(E35:E37)+E34+E31</f>
        <v>1726725</v>
      </c>
    </row>
    <row r="40" spans="1:8" ht="16.5" thickBot="1">
      <c r="C40" s="17" t="s">
        <v>95</v>
      </c>
      <c r="D40" s="23">
        <f>D38-E38</f>
        <v>-1672987.8</v>
      </c>
      <c r="E40" s="24"/>
    </row>
    <row r="41" spans="1:8" ht="16.5" thickTop="1"/>
  </sheetData>
  <mergeCells count="4">
    <mergeCell ref="A9:A10"/>
    <mergeCell ref="B9:B10"/>
    <mergeCell ref="C9:C10"/>
    <mergeCell ref="D9:E9"/>
  </mergeCells>
  <hyperlinks>
    <hyperlink ref="A2:E2" location="Data!A1" display="PROJECT   NAME :  RRL PALACIO" xr:uid="{B142E020-3DBD-41E9-8D06-01CBB971BE1D}"/>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98530-CC52-41EB-AEAA-30E67539901C}">
  <sheetPr codeName="Sheet10"/>
  <dimension ref="A1:H40"/>
  <sheetViews>
    <sheetView zoomScale="130" zoomScaleNormal="130" workbookViewId="0">
      <selection activeCell="A22" sqref="A2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Data!B8</f>
        <v>0</v>
      </c>
      <c r="B1" s="91"/>
      <c r="C1" s="91"/>
      <c r="D1" s="91"/>
      <c r="E1" s="92"/>
      <c r="F1" s="6">
        <f>Data!P8</f>
        <v>0</v>
      </c>
      <c r="G1" s="7"/>
      <c r="H1" s="8" t="str">
        <f>Data!AX8</f>
        <v>Builder</v>
      </c>
    </row>
    <row r="2" spans="1:8">
      <c r="A2" s="111" t="s">
        <v>105</v>
      </c>
      <c r="B2" s="111"/>
      <c r="C2" s="111"/>
      <c r="D2" s="111"/>
      <c r="E2" s="111"/>
      <c r="G2" s="9" t="s">
        <v>56</v>
      </c>
      <c r="H2" s="9" t="s">
        <v>57</v>
      </c>
    </row>
    <row r="3" spans="1:8">
      <c r="A3" s="116" t="s">
        <v>58</v>
      </c>
      <c r="B3" s="117" t="str">
        <f>Data!A8</f>
        <v>0302</v>
      </c>
      <c r="C3" s="118" t="s">
        <v>59</v>
      </c>
      <c r="D3" s="119" t="s">
        <v>106</v>
      </c>
      <c r="E3" s="129">
        <f>Data!F8-'0302'!E4</f>
        <v>0</v>
      </c>
      <c r="G3" s="10">
        <f>E7-H3</f>
        <v>0</v>
      </c>
      <c r="H3" s="10"/>
    </row>
    <row r="4" spans="1:8">
      <c r="A4" s="116" t="s">
        <v>60</v>
      </c>
      <c r="B4" s="120" t="str">
        <f>Data!C8</f>
        <v>Tower-1</v>
      </c>
      <c r="C4" s="121" t="s">
        <v>61</v>
      </c>
      <c r="D4" s="122" t="s">
        <v>106</v>
      </c>
      <c r="E4" s="130">
        <f>(Data!F8*5)/105</f>
        <v>0</v>
      </c>
      <c r="F4" s="7" t="s">
        <v>62</v>
      </c>
      <c r="G4" s="10">
        <f>G3-E18</f>
        <v>0</v>
      </c>
      <c r="H4" s="10">
        <f>H3-D18</f>
        <v>0</v>
      </c>
    </row>
    <row r="5" spans="1:8">
      <c r="A5" s="116" t="s">
        <v>63</v>
      </c>
      <c r="B5" s="123">
        <f>Data!E8</f>
        <v>1495</v>
      </c>
      <c r="C5" s="124" t="s">
        <v>52</v>
      </c>
      <c r="D5" s="125" t="s">
        <v>106</v>
      </c>
      <c r="E5" s="129">
        <f>SUM(E3:E4)</f>
        <v>0</v>
      </c>
    </row>
    <row r="6" spans="1:8">
      <c r="A6" s="116" t="s">
        <v>34</v>
      </c>
      <c r="B6" s="123" t="str">
        <f>Data!D8</f>
        <v>3 BHK</v>
      </c>
      <c r="C6" s="80" t="s">
        <v>64</v>
      </c>
      <c r="D6" s="119" t="s">
        <v>106</v>
      </c>
      <c r="E6" s="130">
        <v>0</v>
      </c>
    </row>
    <row r="7" spans="1:8">
      <c r="A7" s="116" t="s">
        <v>65</v>
      </c>
      <c r="B7" s="126">
        <f>Data!V8</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"&amp;Data!R8)</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BC1B7D5E-BD85-45CC-BBF1-59DD851FE2F0}"/>
  </hyperlinks>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1A66F-C46E-4C09-B89E-9F271DD16A88}">
  <sheetPr codeName="Sheet11"/>
  <dimension ref="A1:H40"/>
  <sheetViews>
    <sheetView zoomScale="130" zoomScaleNormal="130" workbookViewId="0">
      <selection activeCell="B3" sqref="B3"/>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Data!B9</f>
        <v>0</v>
      </c>
      <c r="B1" s="91"/>
      <c r="C1" s="91"/>
      <c r="D1" s="91"/>
      <c r="E1" s="92"/>
      <c r="F1" s="6">
        <f>Data!P9</f>
        <v>0</v>
      </c>
      <c r="G1" s="7"/>
      <c r="H1" s="8" t="str">
        <f>Data!AX9</f>
        <v>Builder</v>
      </c>
    </row>
    <row r="2" spans="1:8">
      <c r="A2" s="111" t="s">
        <v>105</v>
      </c>
      <c r="B2" s="111"/>
      <c r="C2" s="111"/>
      <c r="D2" s="111"/>
      <c r="E2" s="111"/>
      <c r="G2" s="9" t="s">
        <v>56</v>
      </c>
      <c r="H2" s="9" t="s">
        <v>57</v>
      </c>
    </row>
    <row r="3" spans="1:8">
      <c r="A3" s="116" t="s">
        <v>58</v>
      </c>
      <c r="B3" s="117" t="str">
        <f>Data!A9</f>
        <v>0303</v>
      </c>
      <c r="C3" s="118" t="s">
        <v>59</v>
      </c>
      <c r="D3" s="119" t="s">
        <v>106</v>
      </c>
      <c r="E3" s="129">
        <f>Data!F9-'0303'!E4</f>
        <v>0</v>
      </c>
      <c r="G3" s="10">
        <f>E7-H3</f>
        <v>0</v>
      </c>
      <c r="H3" s="10"/>
    </row>
    <row r="4" spans="1:8">
      <c r="A4" s="116" t="s">
        <v>60</v>
      </c>
      <c r="B4" s="120" t="str">
        <f>Data!C9</f>
        <v>Tower-1</v>
      </c>
      <c r="C4" s="121" t="s">
        <v>61</v>
      </c>
      <c r="D4" s="122" t="s">
        <v>106</v>
      </c>
      <c r="E4" s="130">
        <f>(Data!F9*5)/105</f>
        <v>0</v>
      </c>
      <c r="F4" s="7" t="s">
        <v>62</v>
      </c>
      <c r="G4" s="10">
        <f>G3-E18</f>
        <v>0</v>
      </c>
      <c r="H4" s="10">
        <f>H3-D18</f>
        <v>0</v>
      </c>
    </row>
    <row r="5" spans="1:8">
      <c r="A5" s="116" t="s">
        <v>63</v>
      </c>
      <c r="B5" s="123">
        <f>Data!E9</f>
        <v>1630</v>
      </c>
      <c r="C5" s="124" t="s">
        <v>52</v>
      </c>
      <c r="D5" s="125" t="s">
        <v>106</v>
      </c>
      <c r="E5" s="129">
        <f>SUM(E3:E4)</f>
        <v>0</v>
      </c>
    </row>
    <row r="6" spans="1:8">
      <c r="A6" s="116" t="s">
        <v>34</v>
      </c>
      <c r="B6" s="123" t="str">
        <f>Data!D9</f>
        <v>3 BHK</v>
      </c>
      <c r="C6" s="80" t="s">
        <v>64</v>
      </c>
      <c r="D6" s="119" t="s">
        <v>106</v>
      </c>
      <c r="E6" s="130">
        <v>0</v>
      </c>
    </row>
    <row r="7" spans="1:8">
      <c r="A7" s="116" t="s">
        <v>65</v>
      </c>
      <c r="B7" s="126">
        <f>Data!V9</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"&amp;Data!R9)</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0</v>
      </c>
    </row>
    <row r="39" spans="1:8" ht="16.5" thickBot="1">
      <c r="C39" s="17" t="s">
        <v>95</v>
      </c>
      <c r="D39" s="23">
        <f>D37-E37</f>
        <v>69242.399999999994</v>
      </c>
      <c r="E39" s="24"/>
    </row>
    <row r="40" spans="1:8" ht="16.5" thickTop="1"/>
  </sheetData>
  <mergeCells count="4">
    <mergeCell ref="A9:A10"/>
    <mergeCell ref="B9:B10"/>
    <mergeCell ref="C9:C10"/>
    <mergeCell ref="D9:E9"/>
  </mergeCells>
  <hyperlinks>
    <hyperlink ref="A2:E2" location="Data!A1" display="PROJECT   NAME :  RRL PALACIO" xr:uid="{588F449A-84C0-4526-B2B4-00ACB4172FC7}"/>
  </hyperlinks>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3C5BC-3A0E-4FB4-8DEF-7AF959F8E1B7}">
  <sheetPr codeName="Sheet12"/>
  <dimension ref="A1:H40"/>
  <sheetViews>
    <sheetView zoomScale="130" zoomScaleNormal="130" workbookViewId="0">
      <selection activeCell="E6" sqref="E6"/>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Data!B10</f>
        <v>0</v>
      </c>
      <c r="B1" s="91"/>
      <c r="C1" s="91"/>
      <c r="D1" s="91"/>
      <c r="E1" s="92"/>
      <c r="F1" s="6">
        <f>Data!P10</f>
        <v>0</v>
      </c>
      <c r="G1" s="7"/>
      <c r="H1" s="8" t="str">
        <f>Data!AX10</f>
        <v>Builder</v>
      </c>
    </row>
    <row r="2" spans="1:8">
      <c r="A2" s="111" t="s">
        <v>105</v>
      </c>
      <c r="B2" s="111"/>
      <c r="C2" s="111"/>
      <c r="D2" s="111"/>
      <c r="E2" s="111"/>
      <c r="G2" s="9" t="s">
        <v>56</v>
      </c>
      <c r="H2" s="9" t="s">
        <v>57</v>
      </c>
    </row>
    <row r="3" spans="1:8">
      <c r="A3" s="116" t="s">
        <v>58</v>
      </c>
      <c r="B3" s="117" t="str">
        <f>Data!A10</f>
        <v>0304</v>
      </c>
      <c r="C3" s="118" t="s">
        <v>59</v>
      </c>
      <c r="D3" s="119" t="s">
        <v>106</v>
      </c>
      <c r="E3" s="129">
        <f>Data!F10-'0304'!E4</f>
        <v>0</v>
      </c>
      <c r="G3" s="10">
        <f>E7-H3</f>
        <v>0</v>
      </c>
      <c r="H3" s="10"/>
    </row>
    <row r="4" spans="1:8">
      <c r="A4" s="116" t="s">
        <v>60</v>
      </c>
      <c r="B4" s="120" t="str">
        <f>Data!C10</f>
        <v>Tower-1</v>
      </c>
      <c r="C4" s="121" t="s">
        <v>61</v>
      </c>
      <c r="D4" s="122" t="s">
        <v>106</v>
      </c>
      <c r="E4" s="130">
        <f>(Data!F10*5)/105</f>
        <v>0</v>
      </c>
      <c r="F4" s="7" t="s">
        <v>62</v>
      </c>
      <c r="G4" s="10">
        <f>G3-E18</f>
        <v>0</v>
      </c>
      <c r="H4" s="10">
        <f>H3-D18</f>
        <v>0</v>
      </c>
    </row>
    <row r="5" spans="1:8">
      <c r="A5" s="116" t="s">
        <v>63</v>
      </c>
      <c r="B5" s="123">
        <f>Data!E10</f>
        <v>1560</v>
      </c>
      <c r="C5" s="124" t="s">
        <v>52</v>
      </c>
      <c r="D5" s="125" t="s">
        <v>106</v>
      </c>
      <c r="E5" s="129">
        <f>SUM(E3:E4)</f>
        <v>0</v>
      </c>
    </row>
    <row r="6" spans="1:8">
      <c r="A6" s="116" t="s">
        <v>34</v>
      </c>
      <c r="B6" s="123" t="str">
        <f>Data!D10</f>
        <v>3 BHK</v>
      </c>
      <c r="C6" s="80" t="s">
        <v>64</v>
      </c>
      <c r="D6" s="119" t="s">
        <v>106</v>
      </c>
      <c r="E6" s="130">
        <v>0</v>
      </c>
    </row>
    <row r="7" spans="1:8">
      <c r="A7" s="116" t="s">
        <v>65</v>
      </c>
      <c r="B7" s="126">
        <f>Data!V10</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"&amp;Data!R10)</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56160</v>
      </c>
      <c r="E31" s="16" t="str">
        <f>IF(D31="","Maintenance will be paid to Association","")</f>
        <v/>
      </c>
      <c r="F31" s="6"/>
      <c r="G31" s="6"/>
      <c r="H31" s="6"/>
    </row>
    <row r="32" spans="1:8" s="15" customFormat="1">
      <c r="A32" s="6"/>
      <c r="B32" s="6"/>
      <c r="C32" s="7" t="s">
        <v>89</v>
      </c>
      <c r="D32" s="19">
        <f>IF(D31="","",D31*18%)</f>
        <v>10108.799999999999</v>
      </c>
      <c r="E32" s="20"/>
      <c r="F32" s="6"/>
      <c r="G32" s="6"/>
      <c r="H32" s="6"/>
    </row>
    <row r="33" spans="1:8" s="15" customFormat="1">
      <c r="A33" s="6"/>
      <c r="B33" s="6"/>
      <c r="C33" s="17" t="s">
        <v>90</v>
      </c>
      <c r="D33" s="13">
        <f>SUM(D31:D32)</f>
        <v>66268.800000000003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66268.800000000003</v>
      </c>
      <c r="E37" s="22">
        <f>SUM(E34:E36)+E33+E30</f>
        <v>0</v>
      </c>
    </row>
    <row r="39" spans="1:8" ht="16.5" thickBot="1">
      <c r="C39" s="17" t="s">
        <v>95</v>
      </c>
      <c r="D39" s="23">
        <f>D37-E37</f>
        <v>66268.800000000003</v>
      </c>
      <c r="E39" s="24"/>
    </row>
    <row r="40" spans="1:8" ht="16.5" thickTop="1"/>
  </sheetData>
  <mergeCells count="4">
    <mergeCell ref="A9:A10"/>
    <mergeCell ref="B9:B10"/>
    <mergeCell ref="C9:C10"/>
    <mergeCell ref="D9:E9"/>
  </mergeCells>
  <hyperlinks>
    <hyperlink ref="A2:E2" location="Data!A1" display="PROJECT   NAME :  RRL PALACIO" xr:uid="{FD75D1BA-B77A-41BD-B2DA-254D444099E0}"/>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40A6-60F5-4E46-8404-E9EA1BF05D16}">
  <sheetPr codeName="Sheet13"/>
  <dimension ref="A1:H40"/>
  <sheetViews>
    <sheetView zoomScaleNormal="10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1.140625" style="6" bestFit="1" customWidth="1"/>
    <col min="8" max="8" width="9.85546875" style="6" bestFit="1" customWidth="1"/>
    <col min="9" max="16384" width="11.42578125" style="6"/>
  </cols>
  <sheetData>
    <row r="1" spans="1:8">
      <c r="A1" s="166" t="str">
        <f>Data!B11</f>
        <v>NANDAKUMAR T V AND PRIYADHARSHINI NANDAKUMAR</v>
      </c>
      <c r="B1" s="91"/>
      <c r="C1" s="91"/>
      <c r="D1" s="91"/>
      <c r="E1" s="92"/>
      <c r="F1" s="6" t="str">
        <f>Data!P11</f>
        <v>HDFC</v>
      </c>
      <c r="G1" s="7"/>
      <c r="H1" s="8" t="str">
        <f>Data!AX11</f>
        <v>Builder</v>
      </c>
    </row>
    <row r="2" spans="1:8">
      <c r="A2" s="111" t="s">
        <v>105</v>
      </c>
      <c r="B2" s="111"/>
      <c r="C2" s="111"/>
      <c r="D2" s="111"/>
      <c r="E2" s="111"/>
      <c r="G2" s="9" t="s">
        <v>56</v>
      </c>
      <c r="H2" s="9" t="s">
        <v>57</v>
      </c>
    </row>
    <row r="3" spans="1:8">
      <c r="A3" s="116" t="s">
        <v>58</v>
      </c>
      <c r="B3" s="117" t="str">
        <f>Data!A11</f>
        <v>0305</v>
      </c>
      <c r="C3" s="118" t="s">
        <v>59</v>
      </c>
      <c r="D3" s="119" t="s">
        <v>106</v>
      </c>
      <c r="E3" s="129">
        <f>Data!F11-'0305'!E4</f>
        <v>9815000</v>
      </c>
      <c r="G3" s="10">
        <f>E7-H3</f>
        <v>4305750</v>
      </c>
      <c r="H3" s="10">
        <v>6000000</v>
      </c>
    </row>
    <row r="4" spans="1:8">
      <c r="A4" s="116" t="s">
        <v>60</v>
      </c>
      <c r="B4" s="120" t="str">
        <f>Data!C11</f>
        <v>Tower-1</v>
      </c>
      <c r="C4" s="121" t="s">
        <v>61</v>
      </c>
      <c r="D4" s="122" t="s">
        <v>106</v>
      </c>
      <c r="E4" s="130">
        <f>(Data!F11*5)/105</f>
        <v>490750</v>
      </c>
      <c r="F4" s="7" t="s">
        <v>62</v>
      </c>
      <c r="G4" s="10">
        <f>G3-E18</f>
        <v>1729311</v>
      </c>
      <c r="H4" s="10">
        <f>H3-D18</f>
        <v>6000000</v>
      </c>
    </row>
    <row r="5" spans="1:8">
      <c r="A5" s="116" t="s">
        <v>63</v>
      </c>
      <c r="B5" s="123">
        <f>Data!E11</f>
        <v>1510</v>
      </c>
      <c r="C5" s="124" t="s">
        <v>52</v>
      </c>
      <c r="D5" s="125" t="s">
        <v>106</v>
      </c>
      <c r="E5" s="129">
        <f>SUM(E3:E4)</f>
        <v>10305750</v>
      </c>
    </row>
    <row r="6" spans="1:8">
      <c r="A6" s="116" t="s">
        <v>34</v>
      </c>
      <c r="B6" s="123" t="str">
        <f>Data!D11</f>
        <v>3 BHK</v>
      </c>
      <c r="C6" s="80" t="s">
        <v>64</v>
      </c>
      <c r="D6" s="119" t="s">
        <v>106</v>
      </c>
      <c r="E6" s="130">
        <v>0</v>
      </c>
    </row>
    <row r="7" spans="1:8">
      <c r="A7" s="116" t="s">
        <v>65</v>
      </c>
      <c r="B7" s="126" t="str">
        <f>Data!V11</f>
        <v>RRL PAB029</v>
      </c>
      <c r="C7" s="127" t="s">
        <v>66</v>
      </c>
      <c r="D7" s="128" t="s">
        <v>106</v>
      </c>
      <c r="E7" s="131">
        <f>ROUND(SUM(E5:E6),0)</f>
        <v>10305750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2061150</v>
      </c>
      <c r="C11" s="114" t="s">
        <v>574</v>
      </c>
      <c r="D11" s="115">
        <v>0</v>
      </c>
      <c r="E11" s="115">
        <v>200000</v>
      </c>
      <c r="F11" s="4" t="s">
        <v>654</v>
      </c>
    </row>
    <row r="12" spans="1:8">
      <c r="A12" s="112" t="s">
        <v>73</v>
      </c>
      <c r="B12" s="113">
        <f>$E$7*20%</f>
        <v>2061150</v>
      </c>
      <c r="C12" s="114" t="s">
        <v>687</v>
      </c>
      <c r="D12" s="115">
        <v>0</v>
      </c>
      <c r="E12" s="115">
        <v>830575</v>
      </c>
      <c r="F12" s="4" t="s">
        <v>664</v>
      </c>
    </row>
    <row r="13" spans="1:8">
      <c r="A13" s="112" t="s">
        <v>74</v>
      </c>
      <c r="B13" s="113">
        <f>$E$7*20%</f>
        <v>2061150</v>
      </c>
      <c r="C13" s="114" t="s">
        <v>1028</v>
      </c>
      <c r="D13" s="115">
        <v>0</v>
      </c>
      <c r="E13" s="115">
        <v>772932</v>
      </c>
      <c r="F13" s="4" t="s">
        <v>1005</v>
      </c>
    </row>
    <row r="14" spans="1:8">
      <c r="A14" s="112" t="s">
        <v>75</v>
      </c>
      <c r="B14" s="113">
        <f>$E$7*15%</f>
        <v>1545862.5</v>
      </c>
      <c r="C14" s="114" t="s">
        <v>1029</v>
      </c>
      <c r="D14" s="115">
        <v>0</v>
      </c>
      <c r="E14" s="115">
        <v>772932</v>
      </c>
      <c r="F14" s="4" t="s">
        <v>1024</v>
      </c>
    </row>
    <row r="15" spans="1:8">
      <c r="A15" s="112" t="s">
        <v>185</v>
      </c>
      <c r="B15" s="113">
        <f>$E$7*5%</f>
        <v>515287.5</v>
      </c>
      <c r="C15" s="114"/>
      <c r="D15" s="115"/>
      <c r="E15" s="115"/>
      <c r="F15" s="11"/>
    </row>
    <row r="16" spans="1:8">
      <c r="A16" s="112" t="s">
        <v>184</v>
      </c>
      <c r="B16" s="113">
        <f>$E$7*15%</f>
        <v>1545862.5</v>
      </c>
      <c r="C16" s="114"/>
      <c r="D16" s="115"/>
      <c r="E16" s="115"/>
      <c r="F16" s="11"/>
    </row>
    <row r="17" spans="1:8">
      <c r="A17" s="112" t="s">
        <v>76</v>
      </c>
      <c r="B17" s="113">
        <f>$E$7*5%</f>
        <v>515287.5</v>
      </c>
      <c r="C17" s="114"/>
      <c r="D17" s="115"/>
      <c r="E17" s="115"/>
      <c r="F17" s="11"/>
    </row>
    <row r="18" spans="1:8">
      <c r="A18" s="93"/>
      <c r="B18" s="94"/>
      <c r="C18" s="95" t="s">
        <v>77</v>
      </c>
      <c r="D18" s="96">
        <f>SUM(D11:D17)</f>
        <v>0</v>
      </c>
      <c r="E18" s="97">
        <f>SUM(E11:E17)</f>
        <v>2576439</v>
      </c>
    </row>
    <row r="19" spans="1:8">
      <c r="A19" s="98"/>
      <c r="B19" s="99"/>
      <c r="C19" s="100"/>
      <c r="D19" s="101" t="s">
        <v>78</v>
      </c>
      <c r="E19" s="164">
        <f>D18+E18</f>
        <v>2576439</v>
      </c>
    </row>
    <row r="20" spans="1:8" ht="16.5" thickBot="1">
      <c r="A20" s="102"/>
      <c r="B20" s="103"/>
      <c r="C20" s="100"/>
      <c r="D20" s="101" t="s">
        <v>79</v>
      </c>
      <c r="E20" s="165">
        <f>E7-E19</f>
        <v>7729311</v>
      </c>
    </row>
    <row r="21" spans="1:8" ht="16.5" thickTop="1">
      <c r="A21" s="98" t="str">
        <f>IF(B7="","","NOTE: "&amp;Data!R11)</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2576439</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2576439</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2576439</v>
      </c>
    </row>
    <row r="39" spans="1:8" ht="16.5" thickBot="1">
      <c r="C39" s="17" t="s">
        <v>95</v>
      </c>
      <c r="D39" s="23">
        <f>D37-E37</f>
        <v>-2512294.2000000002</v>
      </c>
      <c r="E39" s="24"/>
    </row>
    <row r="40" spans="1:8" ht="16.5" thickTop="1"/>
  </sheetData>
  <mergeCells count="4">
    <mergeCell ref="A9:A10"/>
    <mergeCell ref="B9:B10"/>
    <mergeCell ref="C9:C10"/>
    <mergeCell ref="D9:E9"/>
  </mergeCells>
  <hyperlinks>
    <hyperlink ref="A2:E2" location="Data!A1" display="PROJECT   NAME :  RRL PALACIO" xr:uid="{5E6E7A6D-D3B7-43B5-AC8E-5EFE2EAD6DDD}"/>
  </hyperlinks>
  <pageMargins left="0.7" right="0.7" top="0.75" bottom="0.75" header="0.3" footer="0.3"/>
  <pageSetup paperSize="9" orientation="portrait" horizontalDpi="0"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299D0-1603-4848-BFA4-5E32005FD8C6}">
  <sheetPr codeName="Sheet14"/>
  <dimension ref="A1:H40"/>
  <sheetViews>
    <sheetView zoomScale="130" zoomScaleNormal="130" workbookViewId="0">
      <selection activeCell="A22" sqref="A2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Data!B12</f>
        <v>0</v>
      </c>
      <c r="B1" s="91"/>
      <c r="C1" s="91"/>
      <c r="D1" s="91"/>
      <c r="E1" s="92"/>
      <c r="F1" s="6">
        <f>Data!P12</f>
        <v>0</v>
      </c>
      <c r="G1" s="7"/>
      <c r="H1" s="8" t="str">
        <f>Data!AX12</f>
        <v>Builder</v>
      </c>
    </row>
    <row r="2" spans="1:8">
      <c r="A2" s="111" t="s">
        <v>105</v>
      </c>
      <c r="B2" s="111"/>
      <c r="C2" s="111"/>
      <c r="D2" s="111"/>
      <c r="E2" s="111"/>
      <c r="G2" s="9" t="s">
        <v>56</v>
      </c>
      <c r="H2" s="9" t="s">
        <v>57</v>
      </c>
    </row>
    <row r="3" spans="1:8">
      <c r="A3" s="116" t="s">
        <v>58</v>
      </c>
      <c r="B3" s="117" t="str">
        <f>Data!A12</f>
        <v>0401</v>
      </c>
      <c r="C3" s="118" t="s">
        <v>59</v>
      </c>
      <c r="D3" s="119" t="s">
        <v>106</v>
      </c>
      <c r="E3" s="129">
        <f>Data!F12-'0401'!E4</f>
        <v>0</v>
      </c>
      <c r="G3" s="10">
        <f>E7-H3</f>
        <v>0</v>
      </c>
      <c r="H3" s="10"/>
    </row>
    <row r="4" spans="1:8">
      <c r="A4" s="116" t="s">
        <v>60</v>
      </c>
      <c r="B4" s="120" t="str">
        <f>Data!C12</f>
        <v>Tower-1</v>
      </c>
      <c r="C4" s="121" t="s">
        <v>61</v>
      </c>
      <c r="D4" s="122" t="s">
        <v>106</v>
      </c>
      <c r="E4" s="130">
        <f>(Data!F12*5)/105</f>
        <v>0</v>
      </c>
      <c r="F4" s="7" t="s">
        <v>62</v>
      </c>
      <c r="G4" s="10">
        <f>G3-E18</f>
        <v>0</v>
      </c>
      <c r="H4" s="10">
        <f>H3-D18</f>
        <v>0</v>
      </c>
    </row>
    <row r="5" spans="1:8">
      <c r="A5" s="116" t="s">
        <v>63</v>
      </c>
      <c r="B5" s="123">
        <f>Data!E12</f>
        <v>1265</v>
      </c>
      <c r="C5" s="124" t="s">
        <v>52</v>
      </c>
      <c r="D5" s="125" t="s">
        <v>106</v>
      </c>
      <c r="E5" s="129">
        <f>SUM(E3:E4)</f>
        <v>0</v>
      </c>
    </row>
    <row r="6" spans="1:8">
      <c r="A6" s="116" t="s">
        <v>34</v>
      </c>
      <c r="B6" s="123" t="str">
        <f>Data!D12</f>
        <v>2 BHK</v>
      </c>
      <c r="C6" s="80" t="s">
        <v>64</v>
      </c>
      <c r="D6" s="119" t="s">
        <v>106</v>
      </c>
      <c r="E6" s="130">
        <v>0</v>
      </c>
    </row>
    <row r="7" spans="1:8">
      <c r="A7" s="116" t="s">
        <v>65</v>
      </c>
      <c r="B7" s="126">
        <f>Data!V12</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"&amp;Data!R12)</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0</v>
      </c>
    </row>
    <row r="39" spans="1:8" ht="16.5" thickBot="1">
      <c r="C39" s="17" t="s">
        <v>95</v>
      </c>
      <c r="D39" s="23">
        <f>D37-E37</f>
        <v>53737.2</v>
      </c>
      <c r="E39" s="24"/>
    </row>
    <row r="40" spans="1:8" ht="16.5" thickTop="1"/>
  </sheetData>
  <mergeCells count="4">
    <mergeCell ref="A9:A10"/>
    <mergeCell ref="B9:B10"/>
    <mergeCell ref="C9:C10"/>
    <mergeCell ref="D9:E9"/>
  </mergeCells>
  <hyperlinks>
    <hyperlink ref="A2:E2" location="Data!A1" display="PROJECT   NAME :  RRL PALACIO" xr:uid="{3DB5AC18-115E-4BC6-96F3-33181D6966CC}"/>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490AB-91B6-499F-8724-2ACE3FFC4155}">
  <sheetPr codeName="Sheet15"/>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Data!B13</f>
        <v>0</v>
      </c>
      <c r="B1" s="91"/>
      <c r="C1" s="91"/>
      <c r="D1" s="91"/>
      <c r="E1" s="92"/>
      <c r="F1" s="6">
        <f>Data!P13</f>
        <v>0</v>
      </c>
      <c r="G1" s="7"/>
      <c r="H1" s="8" t="str">
        <f>Data!AX13</f>
        <v>Builder</v>
      </c>
    </row>
    <row r="2" spans="1:8">
      <c r="A2" s="111" t="s">
        <v>105</v>
      </c>
      <c r="B2" s="111"/>
      <c r="C2" s="111"/>
      <c r="D2" s="111"/>
      <c r="E2" s="111"/>
      <c r="G2" s="9" t="s">
        <v>56</v>
      </c>
      <c r="H2" s="9" t="s">
        <v>57</v>
      </c>
    </row>
    <row r="3" spans="1:8">
      <c r="A3" s="116" t="s">
        <v>58</v>
      </c>
      <c r="B3" s="117" t="str">
        <f>Data!A13</f>
        <v>0402</v>
      </c>
      <c r="C3" s="118" t="s">
        <v>59</v>
      </c>
      <c r="D3" s="119" t="s">
        <v>106</v>
      </c>
      <c r="E3" s="129">
        <f>Data!F13-'0402'!E4</f>
        <v>0</v>
      </c>
      <c r="G3" s="10">
        <f>E7-H3</f>
        <v>0</v>
      </c>
      <c r="H3" s="10"/>
    </row>
    <row r="4" spans="1:8">
      <c r="A4" s="116" t="s">
        <v>60</v>
      </c>
      <c r="B4" s="120" t="str">
        <f>Data!C13</f>
        <v>Tower-1</v>
      </c>
      <c r="C4" s="121" t="s">
        <v>61</v>
      </c>
      <c r="D4" s="122" t="s">
        <v>106</v>
      </c>
      <c r="E4" s="130">
        <f>(Data!F13*5)/105</f>
        <v>0</v>
      </c>
      <c r="F4" s="7" t="s">
        <v>62</v>
      </c>
      <c r="G4" s="10">
        <f>G3-E18</f>
        <v>0</v>
      </c>
      <c r="H4" s="10">
        <f>H3-D18</f>
        <v>0</v>
      </c>
    </row>
    <row r="5" spans="1:8">
      <c r="A5" s="116" t="s">
        <v>63</v>
      </c>
      <c r="B5" s="123">
        <f>Data!E13</f>
        <v>1495</v>
      </c>
      <c r="C5" s="124" t="s">
        <v>52</v>
      </c>
      <c r="D5" s="125" t="s">
        <v>106</v>
      </c>
      <c r="E5" s="129">
        <f>SUM(E3:E4)</f>
        <v>0</v>
      </c>
    </row>
    <row r="6" spans="1:8">
      <c r="A6" s="116" t="s">
        <v>34</v>
      </c>
      <c r="B6" s="123" t="str">
        <f>Data!D13</f>
        <v>3 BHK</v>
      </c>
      <c r="C6" s="80" t="s">
        <v>64</v>
      </c>
      <c r="D6" s="119" t="s">
        <v>106</v>
      </c>
      <c r="E6" s="130">
        <v>0</v>
      </c>
    </row>
    <row r="7" spans="1:8">
      <c r="A7" s="116" t="s">
        <v>65</v>
      </c>
      <c r="B7" s="126">
        <f>Data!V13</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"&amp;Data!R13)</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A1B9E485-9405-49B8-8077-1E99EB567C45}"/>
  </hyperlink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C113A-0626-4B5A-94E0-238E5A5C74EF}">
  <sheetPr codeName="Sheet16"/>
  <dimension ref="A1:H40"/>
  <sheetViews>
    <sheetView zoomScale="130" zoomScaleNormal="130" workbookViewId="0">
      <selection activeCell="E3" sqref="E3"/>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Data!B14</f>
        <v>0</v>
      </c>
      <c r="B1" s="91"/>
      <c r="C1" s="91"/>
      <c r="D1" s="91"/>
      <c r="E1" s="92"/>
      <c r="F1" s="6">
        <f>Data!P14</f>
        <v>0</v>
      </c>
      <c r="G1" s="7"/>
      <c r="H1" s="8" t="str">
        <f>Data!AX14</f>
        <v>Builder</v>
      </c>
    </row>
    <row r="2" spans="1:8">
      <c r="A2" s="111" t="s">
        <v>105</v>
      </c>
      <c r="B2" s="111"/>
      <c r="C2" s="111"/>
      <c r="D2" s="111"/>
      <c r="E2" s="111"/>
      <c r="G2" s="9" t="s">
        <v>56</v>
      </c>
      <c r="H2" s="9" t="s">
        <v>57</v>
      </c>
    </row>
    <row r="3" spans="1:8">
      <c r="A3" s="116" t="s">
        <v>58</v>
      </c>
      <c r="B3" s="117" t="str">
        <f>Data!A14</f>
        <v>0403</v>
      </c>
      <c r="C3" s="118" t="s">
        <v>59</v>
      </c>
      <c r="D3" s="119" t="s">
        <v>106</v>
      </c>
      <c r="E3" s="129">
        <f>Data!F14-'0403'!E4</f>
        <v>0</v>
      </c>
      <c r="G3" s="10">
        <f>E7-H3</f>
        <v>0</v>
      </c>
      <c r="H3" s="10"/>
    </row>
    <row r="4" spans="1:8">
      <c r="A4" s="116" t="s">
        <v>60</v>
      </c>
      <c r="B4" s="120" t="str">
        <f>Data!C14</f>
        <v>Tower-1</v>
      </c>
      <c r="C4" s="121" t="s">
        <v>61</v>
      </c>
      <c r="D4" s="122" t="s">
        <v>106</v>
      </c>
      <c r="E4" s="130">
        <f>(Data!F14*5)/105</f>
        <v>0</v>
      </c>
      <c r="F4" s="7" t="s">
        <v>62</v>
      </c>
      <c r="G4" s="10">
        <f>G3-E18</f>
        <v>0</v>
      </c>
      <c r="H4" s="10">
        <f>H3-D18</f>
        <v>0</v>
      </c>
    </row>
    <row r="5" spans="1:8">
      <c r="A5" s="116" t="s">
        <v>63</v>
      </c>
      <c r="B5" s="123">
        <f>Data!E14</f>
        <v>1630</v>
      </c>
      <c r="C5" s="124" t="s">
        <v>52</v>
      </c>
      <c r="D5" s="125" t="s">
        <v>106</v>
      </c>
      <c r="E5" s="129">
        <f>SUM(E3:E4)</f>
        <v>0</v>
      </c>
    </row>
    <row r="6" spans="1:8">
      <c r="A6" s="116" t="s">
        <v>34</v>
      </c>
      <c r="B6" s="123" t="str">
        <f>Data!D14</f>
        <v>3 BHK</v>
      </c>
      <c r="C6" s="80" t="s">
        <v>64</v>
      </c>
      <c r="D6" s="119" t="s">
        <v>106</v>
      </c>
      <c r="E6" s="130">
        <v>0</v>
      </c>
    </row>
    <row r="7" spans="1:8">
      <c r="A7" s="116" t="s">
        <v>65</v>
      </c>
      <c r="B7" s="126">
        <f>Data!V14</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"&amp;Data!R14)</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0</v>
      </c>
    </row>
    <row r="39" spans="1:8" ht="16.5" thickBot="1">
      <c r="C39" s="17" t="s">
        <v>95</v>
      </c>
      <c r="D39" s="23">
        <f>D37-E37</f>
        <v>69242.399999999994</v>
      </c>
      <c r="E39" s="24"/>
    </row>
    <row r="40" spans="1:8" ht="16.5" thickTop="1"/>
  </sheetData>
  <mergeCells count="4">
    <mergeCell ref="A9:A10"/>
    <mergeCell ref="B9:B10"/>
    <mergeCell ref="C9:C10"/>
    <mergeCell ref="D9:E9"/>
  </mergeCells>
  <hyperlinks>
    <hyperlink ref="A2:E2" location="Data!A1" display="PROJECT   NAME :  RRL PALACIO" xr:uid="{6595BBD7-C9F2-4129-973A-F7D6C5B72A96}"/>
  </hyperlinks>
  <pageMargins left="0.7" right="0.7" top="0.75" bottom="0.75" header="0.3" footer="0.3"/>
  <pageSetup paperSize="9"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76C1AE-0729-44ED-81BF-ED29B541F8BA}">
  <sheetPr codeName="Sheet17"/>
  <dimension ref="A1:H40"/>
  <sheetViews>
    <sheetView zoomScale="130" zoomScaleNormal="130" workbookViewId="0">
      <selection activeCell="A21" sqref="A21"/>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Data!B15</f>
        <v>0</v>
      </c>
      <c r="B1" s="91"/>
      <c r="C1" s="91"/>
      <c r="D1" s="91"/>
      <c r="E1" s="92"/>
      <c r="F1" s="6">
        <f>Data!P15</f>
        <v>0</v>
      </c>
      <c r="G1" s="7"/>
      <c r="H1" s="8" t="str">
        <f>Data!AX15</f>
        <v>Builder</v>
      </c>
    </row>
    <row r="2" spans="1:8">
      <c r="A2" s="111" t="s">
        <v>105</v>
      </c>
      <c r="B2" s="111"/>
      <c r="C2" s="111"/>
      <c r="D2" s="111"/>
      <c r="E2" s="111"/>
      <c r="G2" s="9" t="s">
        <v>56</v>
      </c>
      <c r="H2" s="9" t="s">
        <v>57</v>
      </c>
    </row>
    <row r="3" spans="1:8">
      <c r="A3" s="116" t="s">
        <v>58</v>
      </c>
      <c r="B3" s="117" t="str">
        <f>Data!A15</f>
        <v>0404</v>
      </c>
      <c r="C3" s="118" t="s">
        <v>59</v>
      </c>
      <c r="D3" s="119" t="s">
        <v>106</v>
      </c>
      <c r="E3" s="129">
        <f>Data!F15-'0404'!E4</f>
        <v>0</v>
      </c>
      <c r="G3" s="10">
        <f>E7-H3</f>
        <v>0</v>
      </c>
      <c r="H3" s="10"/>
    </row>
    <row r="4" spans="1:8">
      <c r="A4" s="116" t="s">
        <v>60</v>
      </c>
      <c r="B4" s="120" t="str">
        <f>Data!C15</f>
        <v>Tower-1</v>
      </c>
      <c r="C4" s="121" t="s">
        <v>61</v>
      </c>
      <c r="D4" s="122" t="s">
        <v>106</v>
      </c>
      <c r="E4" s="130">
        <f>(Data!F15*5)/105</f>
        <v>0</v>
      </c>
      <c r="F4" s="7" t="s">
        <v>62</v>
      </c>
      <c r="G4" s="10">
        <f>G3-E18</f>
        <v>0</v>
      </c>
      <c r="H4" s="10">
        <f>H3-D18</f>
        <v>0</v>
      </c>
    </row>
    <row r="5" spans="1:8">
      <c r="A5" s="116" t="s">
        <v>63</v>
      </c>
      <c r="B5" s="123">
        <f>Data!E15</f>
        <v>1560</v>
      </c>
      <c r="C5" s="124" t="s">
        <v>52</v>
      </c>
      <c r="D5" s="125" t="s">
        <v>106</v>
      </c>
      <c r="E5" s="129">
        <f>SUM(E3:E4)</f>
        <v>0</v>
      </c>
    </row>
    <row r="6" spans="1:8">
      <c r="A6" s="116" t="s">
        <v>34</v>
      </c>
      <c r="B6" s="123" t="str">
        <f>Data!D15</f>
        <v>3 BHK</v>
      </c>
      <c r="C6" s="80" t="s">
        <v>64</v>
      </c>
      <c r="D6" s="119" t="s">
        <v>106</v>
      </c>
      <c r="E6" s="130">
        <v>0</v>
      </c>
    </row>
    <row r="7" spans="1:8">
      <c r="A7" s="116" t="s">
        <v>65</v>
      </c>
      <c r="B7" s="126">
        <f>Data!V15</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"&amp;Data!R15)</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56160</v>
      </c>
      <c r="E31" s="16" t="str">
        <f>IF(D31="","Maintenance will be paid to Association","")</f>
        <v/>
      </c>
      <c r="F31" s="6"/>
      <c r="G31" s="6"/>
      <c r="H31" s="6"/>
    </row>
    <row r="32" spans="1:8" s="15" customFormat="1">
      <c r="A32" s="6"/>
      <c r="B32" s="6"/>
      <c r="C32" s="7" t="s">
        <v>89</v>
      </c>
      <c r="D32" s="19">
        <f>IF(D31="","",D31*18%)</f>
        <v>10108.799999999999</v>
      </c>
      <c r="E32" s="20"/>
      <c r="F32" s="6"/>
      <c r="G32" s="6"/>
      <c r="H32" s="6"/>
    </row>
    <row r="33" spans="1:8" s="15" customFormat="1">
      <c r="A33" s="6"/>
      <c r="B33" s="6"/>
      <c r="C33" s="17" t="s">
        <v>90</v>
      </c>
      <c r="D33" s="13">
        <f>SUM(D31:D32)</f>
        <v>66268.800000000003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66268.800000000003</v>
      </c>
      <c r="E37" s="22">
        <f>SUM(E34:E36)+E33+E30</f>
        <v>0</v>
      </c>
    </row>
    <row r="39" spans="1:8" ht="16.5" thickBot="1">
      <c r="C39" s="17" t="s">
        <v>95</v>
      </c>
      <c r="D39" s="23">
        <f>D37-E37</f>
        <v>66268.800000000003</v>
      </c>
      <c r="E39" s="24"/>
    </row>
    <row r="40" spans="1:8" ht="16.5" thickTop="1"/>
  </sheetData>
  <mergeCells count="4">
    <mergeCell ref="A9:A10"/>
    <mergeCell ref="B9:B10"/>
    <mergeCell ref="C9:C10"/>
    <mergeCell ref="D9:E9"/>
  </mergeCells>
  <hyperlinks>
    <hyperlink ref="A2:E2" location="Data!A1" display="PROJECT   NAME :  RRL PALACIO" xr:uid="{F6734176-F457-4D44-BF21-C8E0708513A8}"/>
  </hyperlinks>
  <pageMargins left="0.7" right="0.7" top="0.75" bottom="0.75" header="0.3" footer="0.3"/>
  <pageSetup paperSize="9"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01E6E-37A9-44E9-8DF1-022DEA25ED7B}">
  <sheetPr codeName="Sheet18"/>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Data!B16</f>
        <v>0</v>
      </c>
      <c r="B1" s="91"/>
      <c r="C1" s="91"/>
      <c r="D1" s="91"/>
      <c r="E1" s="92"/>
      <c r="F1" s="6">
        <f>Data!P16</f>
        <v>0</v>
      </c>
      <c r="G1" s="7"/>
      <c r="H1" s="8" t="str">
        <f>Data!AX16</f>
        <v>Builder</v>
      </c>
    </row>
    <row r="2" spans="1:8">
      <c r="A2" s="111" t="s">
        <v>105</v>
      </c>
      <c r="B2" s="111"/>
      <c r="C2" s="111"/>
      <c r="D2" s="111"/>
      <c r="E2" s="111"/>
      <c r="G2" s="9" t="s">
        <v>56</v>
      </c>
      <c r="H2" s="9" t="s">
        <v>57</v>
      </c>
    </row>
    <row r="3" spans="1:8">
      <c r="A3" s="116" t="s">
        <v>58</v>
      </c>
      <c r="B3" s="117" t="str">
        <f>Data!A16</f>
        <v>0405</v>
      </c>
      <c r="C3" s="118" t="s">
        <v>59</v>
      </c>
      <c r="D3" s="119" t="s">
        <v>106</v>
      </c>
      <c r="E3" s="129">
        <f>Data!F16-'0405'!E4</f>
        <v>0</v>
      </c>
      <c r="G3" s="10">
        <f>E7-H3</f>
        <v>0</v>
      </c>
      <c r="H3" s="10"/>
    </row>
    <row r="4" spans="1:8">
      <c r="A4" s="116" t="s">
        <v>60</v>
      </c>
      <c r="B4" s="120" t="str">
        <f>Data!C16</f>
        <v>Tower-1</v>
      </c>
      <c r="C4" s="121" t="s">
        <v>61</v>
      </c>
      <c r="D4" s="122" t="s">
        <v>106</v>
      </c>
      <c r="E4" s="130">
        <f>(Data!F16*5)/105</f>
        <v>0</v>
      </c>
      <c r="F4" s="7" t="s">
        <v>62</v>
      </c>
      <c r="G4" s="10">
        <f>G3-E18</f>
        <v>0</v>
      </c>
      <c r="H4" s="10">
        <f>H3-D18</f>
        <v>0</v>
      </c>
    </row>
    <row r="5" spans="1:8">
      <c r="A5" s="116" t="s">
        <v>63</v>
      </c>
      <c r="B5" s="123">
        <f>Data!E16</f>
        <v>1510</v>
      </c>
      <c r="C5" s="124" t="s">
        <v>52</v>
      </c>
      <c r="D5" s="125" t="s">
        <v>106</v>
      </c>
      <c r="E5" s="129">
        <f>SUM(E3:E4)</f>
        <v>0</v>
      </c>
    </row>
    <row r="6" spans="1:8">
      <c r="A6" s="116" t="s">
        <v>34</v>
      </c>
      <c r="B6" s="123" t="str">
        <f>Data!D16</f>
        <v>3 BHK</v>
      </c>
      <c r="C6" s="80" t="s">
        <v>64</v>
      </c>
      <c r="D6" s="119" t="s">
        <v>106</v>
      </c>
      <c r="E6" s="130">
        <v>0</v>
      </c>
    </row>
    <row r="7" spans="1:8">
      <c r="A7" s="116" t="s">
        <v>65</v>
      </c>
      <c r="B7" s="126">
        <f>Data!V16</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"&amp;Data!R16)</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0</v>
      </c>
    </row>
    <row r="39" spans="1:8" ht="16.5" thickBot="1">
      <c r="C39" s="17" t="s">
        <v>95</v>
      </c>
      <c r="D39" s="23">
        <f>D37-E37</f>
        <v>64144.800000000003</v>
      </c>
      <c r="E39" s="24"/>
    </row>
    <row r="40" spans="1:8" ht="16.5" thickTop="1"/>
  </sheetData>
  <mergeCells count="4">
    <mergeCell ref="A9:A10"/>
    <mergeCell ref="B9:B10"/>
    <mergeCell ref="C9:C10"/>
    <mergeCell ref="D9:E9"/>
  </mergeCells>
  <hyperlinks>
    <hyperlink ref="A2:E2" location="Data!A1" display="PROJECT   NAME :  RRL PALACIO" xr:uid="{D9B9BE89-6D93-41D3-9540-DDEA265CD93C}"/>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AC3AC-B7D4-479B-827C-7E45031B7A0E}">
  <sheetPr codeName="Sheet19"/>
  <dimension ref="A1:H41"/>
  <sheetViews>
    <sheetView zoomScale="115" zoomScaleNormal="11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Data!B17</f>
        <v>ABINASH PATRA AND SROTASWINI PADHI</v>
      </c>
      <c r="B1" s="91"/>
      <c r="C1" s="91"/>
      <c r="D1" s="91"/>
      <c r="E1" s="92"/>
      <c r="F1" s="6">
        <f>Data!P17</f>
        <v>0</v>
      </c>
      <c r="G1" s="7"/>
      <c r="H1" s="8" t="str">
        <f>Data!AX17</f>
        <v>Builder</v>
      </c>
    </row>
    <row r="2" spans="1:8">
      <c r="A2" s="111" t="s">
        <v>105</v>
      </c>
      <c r="B2" s="111"/>
      <c r="C2" s="111"/>
      <c r="D2" s="111"/>
      <c r="E2" s="111"/>
      <c r="G2" s="9" t="s">
        <v>56</v>
      </c>
      <c r="H2" s="9" t="s">
        <v>57</v>
      </c>
    </row>
    <row r="3" spans="1:8">
      <c r="A3" s="116" t="s">
        <v>58</v>
      </c>
      <c r="B3" s="117" t="str">
        <f>Data!A17</f>
        <v>0601</v>
      </c>
      <c r="C3" s="118" t="s">
        <v>59</v>
      </c>
      <c r="D3" s="119" t="s">
        <v>106</v>
      </c>
      <c r="E3" s="129">
        <v>8855000</v>
      </c>
      <c r="G3" s="10">
        <f>E7-H3</f>
        <v>9315802</v>
      </c>
      <c r="H3" s="10"/>
    </row>
    <row r="4" spans="1:8">
      <c r="A4" s="116" t="s">
        <v>60</v>
      </c>
      <c r="B4" s="120" t="str">
        <f>Data!C17</f>
        <v>Tower-1</v>
      </c>
      <c r="C4" s="121" t="s">
        <v>61</v>
      </c>
      <c r="D4" s="122" t="s">
        <v>106</v>
      </c>
      <c r="E4" s="130">
        <f>(Data!F17*5)/105</f>
        <v>460801.66666666669</v>
      </c>
      <c r="F4" s="7" t="s">
        <v>62</v>
      </c>
      <c r="G4" s="10">
        <f>G3-E19</f>
        <v>9215802</v>
      </c>
      <c r="H4" s="10">
        <f>H3-D19</f>
        <v>0</v>
      </c>
    </row>
    <row r="5" spans="1:8">
      <c r="A5" s="116" t="s">
        <v>63</v>
      </c>
      <c r="B5" s="123">
        <f>Data!E17</f>
        <v>1265</v>
      </c>
      <c r="C5" s="124" t="s">
        <v>52</v>
      </c>
      <c r="D5" s="125" t="s">
        <v>106</v>
      </c>
      <c r="E5" s="129">
        <f>SUM(E3:E4)</f>
        <v>9315801.666666666</v>
      </c>
    </row>
    <row r="6" spans="1:8">
      <c r="A6" s="116" t="s">
        <v>34</v>
      </c>
      <c r="B6" s="123" t="str">
        <f>Data!D17</f>
        <v>2 BHK</v>
      </c>
      <c r="C6" s="80" t="s">
        <v>64</v>
      </c>
      <c r="D6" s="119" t="s">
        <v>106</v>
      </c>
      <c r="E6" s="130">
        <v>0</v>
      </c>
    </row>
    <row r="7" spans="1:8">
      <c r="A7" s="116" t="s">
        <v>65</v>
      </c>
      <c r="B7" s="126">
        <f>Data!V17</f>
        <v>0</v>
      </c>
      <c r="C7" s="127" t="s">
        <v>66</v>
      </c>
      <c r="D7" s="128" t="s">
        <v>106</v>
      </c>
      <c r="E7" s="131">
        <f>ROUND(SUM(E5:E6),0)</f>
        <v>9315802</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1863160.4000000001</v>
      </c>
      <c r="C11" s="114" t="s">
        <v>816</v>
      </c>
      <c r="D11" s="115">
        <v>0</v>
      </c>
      <c r="E11" s="115">
        <v>50000</v>
      </c>
      <c r="F11" s="4" t="s">
        <v>813</v>
      </c>
    </row>
    <row r="12" spans="1:8">
      <c r="A12" s="112" t="s">
        <v>73</v>
      </c>
      <c r="B12" s="113">
        <f>$E$7*20%</f>
        <v>1863160.4000000001</v>
      </c>
      <c r="C12" s="114" t="s">
        <v>832</v>
      </c>
      <c r="D12" s="115">
        <v>0</v>
      </c>
      <c r="E12" s="115">
        <v>50000</v>
      </c>
      <c r="F12" s="4" t="s">
        <v>831</v>
      </c>
    </row>
    <row r="13" spans="1:8">
      <c r="A13" s="112" t="s">
        <v>74</v>
      </c>
      <c r="B13" s="113">
        <f>$E$7*20%</f>
        <v>1863160.4000000001</v>
      </c>
      <c r="C13" s="114" t="s">
        <v>879</v>
      </c>
      <c r="D13" s="115">
        <v>0</v>
      </c>
      <c r="E13" s="115">
        <v>-100000</v>
      </c>
      <c r="F13" s="11"/>
    </row>
    <row r="14" spans="1:8">
      <c r="A14" s="112" t="s">
        <v>75</v>
      </c>
      <c r="B14" s="113">
        <f>$E$7*15%</f>
        <v>1397370.3</v>
      </c>
      <c r="C14" s="114" t="s">
        <v>1049</v>
      </c>
      <c r="D14" s="115">
        <v>0</v>
      </c>
      <c r="E14" s="115">
        <v>100000</v>
      </c>
      <c r="F14" s="11"/>
    </row>
    <row r="15" spans="1:8">
      <c r="A15" s="112" t="s">
        <v>185</v>
      </c>
      <c r="B15" s="113">
        <f>$E$7*5%</f>
        <v>465790.10000000003</v>
      </c>
      <c r="C15" s="114"/>
      <c r="D15" s="115">
        <v>0</v>
      </c>
      <c r="E15" s="115"/>
      <c r="F15" s="11"/>
    </row>
    <row r="16" spans="1:8">
      <c r="A16" s="112" t="s">
        <v>184</v>
      </c>
      <c r="B16" s="113">
        <f>$E$7*15%</f>
        <v>1397370.3</v>
      </c>
      <c r="C16" s="114"/>
      <c r="D16" s="115">
        <v>0</v>
      </c>
      <c r="E16" s="115"/>
      <c r="F16" s="11"/>
    </row>
    <row r="17" spans="1:8">
      <c r="A17" s="112" t="s">
        <v>76</v>
      </c>
      <c r="B17" s="113">
        <f>$E$7*5%</f>
        <v>465790.10000000003</v>
      </c>
      <c r="C17" s="114"/>
      <c r="D17" s="115"/>
      <c r="E17" s="115"/>
      <c r="F17" s="11"/>
    </row>
    <row r="18" spans="1:8">
      <c r="A18" s="112"/>
      <c r="B18" s="113"/>
      <c r="C18" s="114"/>
      <c r="D18" s="115">
        <v>0</v>
      </c>
      <c r="E18" s="115"/>
      <c r="F18" s="11"/>
    </row>
    <row r="19" spans="1:8">
      <c r="A19" s="93"/>
      <c r="B19" s="94"/>
      <c r="C19" s="95" t="s">
        <v>77</v>
      </c>
      <c r="D19" s="96">
        <f>SUM(D11:D18)</f>
        <v>0</v>
      </c>
      <c r="E19" s="97">
        <f>SUM(E11:E18)</f>
        <v>100000</v>
      </c>
    </row>
    <row r="20" spans="1:8">
      <c r="A20" s="98"/>
      <c r="B20" s="99"/>
      <c r="C20" s="100"/>
      <c r="D20" s="101" t="s">
        <v>78</v>
      </c>
      <c r="E20" s="164">
        <f>D19+E19</f>
        <v>100000</v>
      </c>
    </row>
    <row r="21" spans="1:8" ht="16.5" thickBot="1">
      <c r="A21" s="102"/>
      <c r="B21" s="103"/>
      <c r="C21" s="100"/>
      <c r="D21" s="101" t="s">
        <v>79</v>
      </c>
      <c r="E21" s="165">
        <f>E7-E20</f>
        <v>9215802</v>
      </c>
    </row>
    <row r="22" spans="1:8" ht="16.5" thickTop="1">
      <c r="A22" s="98" t="str">
        <f>IF(B7="","","NOTE: "&amp;Data!R17)</f>
        <v>NOTE: EXCLUDING GST &amp; MAINTENANCE</v>
      </c>
      <c r="B22" s="99"/>
      <c r="C22" s="99"/>
      <c r="D22" s="99"/>
      <c r="E22" s="104"/>
    </row>
    <row r="23" spans="1:8">
      <c r="A23" s="105"/>
      <c r="B23" s="106"/>
      <c r="C23" s="106"/>
      <c r="D23" s="106"/>
      <c r="E23" s="107"/>
    </row>
    <row r="25" spans="1:8">
      <c r="D25" s="13" t="s">
        <v>80</v>
      </c>
      <c r="E25" s="14" t="s">
        <v>81</v>
      </c>
    </row>
    <row r="26" spans="1:8">
      <c r="C26" s="7" t="s">
        <v>82</v>
      </c>
      <c r="E26" s="16">
        <f>E20</f>
        <v>100000</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100000</v>
      </c>
      <c r="F31" s="6"/>
      <c r="G31" s="6"/>
      <c r="H31" s="6"/>
    </row>
    <row r="32" spans="1:8" s="15" customFormat="1">
      <c r="A32" s="6"/>
      <c r="B32" s="6"/>
      <c r="C32" s="7" t="s">
        <v>88</v>
      </c>
      <c r="D32" s="12">
        <f>B5*3*12</f>
        <v>45540</v>
      </c>
      <c r="E32" s="16" t="str">
        <f>IF(D32="","Maintenance will be paid to Association","")</f>
        <v/>
      </c>
      <c r="F32" s="6"/>
      <c r="G32" s="6"/>
      <c r="H32" s="6"/>
    </row>
    <row r="33" spans="1:8" s="15" customFormat="1">
      <c r="A33" s="6"/>
      <c r="B33" s="6"/>
      <c r="C33" s="7" t="s">
        <v>89</v>
      </c>
      <c r="D33" s="19">
        <f>IF(D32="","",D32*18%)</f>
        <v>8197.1999999999989</v>
      </c>
      <c r="E33" s="20"/>
      <c r="F33" s="6"/>
      <c r="G33" s="6"/>
      <c r="H33" s="6"/>
    </row>
    <row r="34" spans="1:8" s="15" customFormat="1">
      <c r="A34" s="6"/>
      <c r="B34" s="6"/>
      <c r="C34" s="17" t="s">
        <v>90</v>
      </c>
      <c r="D34" s="13">
        <f>SUM(D32:D33)</f>
        <v>53737.2</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53737.2</v>
      </c>
      <c r="E38" s="22">
        <f>SUM(E35:E37)+E34+E31</f>
        <v>100000</v>
      </c>
    </row>
    <row r="40" spans="1:8" ht="16.5" thickBot="1">
      <c r="C40" s="17" t="s">
        <v>95</v>
      </c>
      <c r="D40" s="23">
        <f>D38-E38</f>
        <v>-46262.8</v>
      </c>
      <c r="E40" s="24"/>
    </row>
    <row r="41" spans="1:8" ht="16.5" thickTop="1"/>
  </sheetData>
  <mergeCells count="4">
    <mergeCell ref="A9:A10"/>
    <mergeCell ref="B9:B10"/>
    <mergeCell ref="C9:C10"/>
    <mergeCell ref="D9:E9"/>
  </mergeCells>
  <hyperlinks>
    <hyperlink ref="A2:E2" location="Data!A1" display="PROJECT   NAME :  RRL PALACIO" xr:uid="{248EEAB6-6100-4D20-80E1-8578B7137F1F}"/>
  </hyperlinks>
  <pageMargins left="0.7" right="0.7" top="0.75" bottom="0.75" header="0.3" footer="0.3"/>
  <pageSetup paperSize="9"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F7FFE-1340-4E6A-86D3-E4E81F4E0E21}">
  <sheetPr codeName="Sheet20"/>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Data!B18</f>
        <v>0</v>
      </c>
      <c r="B1" s="91"/>
      <c r="C1" s="91"/>
      <c r="D1" s="91"/>
      <c r="E1" s="92"/>
      <c r="F1" s="6">
        <f>Data!P18</f>
        <v>0</v>
      </c>
      <c r="G1" s="7"/>
      <c r="H1" s="8" t="str">
        <f>Data!AX18</f>
        <v>Builder</v>
      </c>
    </row>
    <row r="2" spans="1:8">
      <c r="A2" s="111" t="s">
        <v>105</v>
      </c>
      <c r="B2" s="111"/>
      <c r="C2" s="111"/>
      <c r="D2" s="111"/>
      <c r="E2" s="111"/>
      <c r="G2" s="9" t="s">
        <v>56</v>
      </c>
      <c r="H2" s="9" t="s">
        <v>57</v>
      </c>
    </row>
    <row r="3" spans="1:8">
      <c r="A3" s="116" t="s">
        <v>58</v>
      </c>
      <c r="B3" s="117" t="str">
        <f>Data!A18</f>
        <v>0602</v>
      </c>
      <c r="C3" s="118" t="s">
        <v>59</v>
      </c>
      <c r="D3" s="119" t="s">
        <v>106</v>
      </c>
      <c r="E3" s="129">
        <f>Data!F18-'0602'!E4</f>
        <v>0</v>
      </c>
      <c r="G3" s="10">
        <f>E7-H3</f>
        <v>0</v>
      </c>
      <c r="H3" s="10"/>
    </row>
    <row r="4" spans="1:8">
      <c r="A4" s="116" t="s">
        <v>60</v>
      </c>
      <c r="B4" s="120" t="str">
        <f>Data!C18</f>
        <v>Tower-1</v>
      </c>
      <c r="C4" s="121" t="s">
        <v>61</v>
      </c>
      <c r="D4" s="122" t="s">
        <v>106</v>
      </c>
      <c r="E4" s="130">
        <f>(Data!F18*5)/105</f>
        <v>0</v>
      </c>
      <c r="F4" s="7" t="s">
        <v>62</v>
      </c>
      <c r="G4" s="10">
        <f>G3-E18</f>
        <v>0</v>
      </c>
      <c r="H4" s="10">
        <f>H3-D18</f>
        <v>0</v>
      </c>
    </row>
    <row r="5" spans="1:8">
      <c r="A5" s="116" t="s">
        <v>63</v>
      </c>
      <c r="B5" s="123">
        <f>Data!E18</f>
        <v>1495</v>
      </c>
      <c r="C5" s="124" t="s">
        <v>52</v>
      </c>
      <c r="D5" s="125" t="s">
        <v>106</v>
      </c>
      <c r="E5" s="129">
        <f>SUM(E3:E4)</f>
        <v>0</v>
      </c>
    </row>
    <row r="6" spans="1:8">
      <c r="A6" s="116" t="s">
        <v>34</v>
      </c>
      <c r="B6" s="123" t="str">
        <f>Data!D18</f>
        <v>3 BHK</v>
      </c>
      <c r="C6" s="80" t="s">
        <v>64</v>
      </c>
      <c r="D6" s="119" t="s">
        <v>106</v>
      </c>
      <c r="E6" s="130">
        <v>0</v>
      </c>
    </row>
    <row r="7" spans="1:8">
      <c r="A7" s="116" t="s">
        <v>65</v>
      </c>
      <c r="B7" s="126">
        <f>Data!V18</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"&amp;Data!R18)</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7E00E15D-F965-4FD9-99B0-2E3187183F48}"/>
  </hyperlinks>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FBAB2-C184-4B7B-9F83-115461721A3A}">
  <sheetPr codeName="Sheet21"/>
  <dimension ref="A1:H40"/>
  <sheetViews>
    <sheetView zoomScale="130" zoomScaleNormal="130" workbookViewId="0">
      <selection activeCell="A21" sqref="A21"/>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Data!B19</f>
        <v>0</v>
      </c>
      <c r="B1" s="91"/>
      <c r="C1" s="91"/>
      <c r="D1" s="91"/>
      <c r="E1" s="92"/>
      <c r="F1" s="6">
        <f>Data!P19</f>
        <v>0</v>
      </c>
      <c r="G1" s="7"/>
      <c r="H1" s="8" t="str">
        <f>Data!AX19</f>
        <v>Builder</v>
      </c>
    </row>
    <row r="2" spans="1:8">
      <c r="A2" s="111" t="s">
        <v>105</v>
      </c>
      <c r="B2" s="111"/>
      <c r="C2" s="111"/>
      <c r="D2" s="111"/>
      <c r="E2" s="111"/>
      <c r="G2" s="9" t="s">
        <v>56</v>
      </c>
      <c r="H2" s="9" t="s">
        <v>57</v>
      </c>
    </row>
    <row r="3" spans="1:8">
      <c r="A3" s="116" t="s">
        <v>58</v>
      </c>
      <c r="B3" s="117" t="str">
        <f>Data!A19</f>
        <v>0603</v>
      </c>
      <c r="C3" s="118" t="s">
        <v>59</v>
      </c>
      <c r="D3" s="119" t="s">
        <v>106</v>
      </c>
      <c r="E3" s="129">
        <f>Data!F19-'0603'!E4</f>
        <v>0</v>
      </c>
      <c r="G3" s="10">
        <f>E7-H3</f>
        <v>0</v>
      </c>
      <c r="H3" s="10"/>
    </row>
    <row r="4" spans="1:8">
      <c r="A4" s="116" t="s">
        <v>60</v>
      </c>
      <c r="B4" s="120" t="str">
        <f>Data!C19</f>
        <v>Tower-1</v>
      </c>
      <c r="C4" s="121" t="s">
        <v>61</v>
      </c>
      <c r="D4" s="122" t="s">
        <v>106</v>
      </c>
      <c r="E4" s="130">
        <f>(Data!F19*5)/105</f>
        <v>0</v>
      </c>
      <c r="F4" s="7" t="s">
        <v>62</v>
      </c>
      <c r="G4" s="10">
        <f>G3-E18</f>
        <v>0</v>
      </c>
      <c r="H4" s="10">
        <f>H3-D18</f>
        <v>0</v>
      </c>
    </row>
    <row r="5" spans="1:8">
      <c r="A5" s="116" t="s">
        <v>63</v>
      </c>
      <c r="B5" s="123">
        <f>Data!E19</f>
        <v>1630</v>
      </c>
      <c r="C5" s="124" t="s">
        <v>52</v>
      </c>
      <c r="D5" s="125" t="s">
        <v>106</v>
      </c>
      <c r="E5" s="129">
        <f>SUM(E3:E4)</f>
        <v>0</v>
      </c>
    </row>
    <row r="6" spans="1:8">
      <c r="A6" s="116" t="s">
        <v>34</v>
      </c>
      <c r="B6" s="123" t="str">
        <f>Data!D19</f>
        <v>3 BHK</v>
      </c>
      <c r="C6" s="80" t="s">
        <v>64</v>
      </c>
      <c r="D6" s="119" t="s">
        <v>106</v>
      </c>
      <c r="E6" s="130">
        <v>0</v>
      </c>
    </row>
    <row r="7" spans="1:8">
      <c r="A7" s="116" t="s">
        <v>65</v>
      </c>
      <c r="B7" s="126">
        <f>Data!V19</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"&amp;Data!R19)</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0</v>
      </c>
    </row>
    <row r="39" spans="1:8" ht="16.5" thickBot="1">
      <c r="C39" s="17" t="s">
        <v>95</v>
      </c>
      <c r="D39" s="23">
        <f>D37-E37</f>
        <v>69242.399999999994</v>
      </c>
      <c r="E39" s="24"/>
    </row>
    <row r="40" spans="1:8" ht="16.5" thickTop="1"/>
  </sheetData>
  <mergeCells count="4">
    <mergeCell ref="A9:A10"/>
    <mergeCell ref="B9:B10"/>
    <mergeCell ref="C9:C10"/>
    <mergeCell ref="D9:E9"/>
  </mergeCells>
  <hyperlinks>
    <hyperlink ref="A2:E2" location="Data!A1" display="PROJECT   NAME :  RRL PALACIO" xr:uid="{AE5EB007-84E6-4764-A453-58400D31B42B}"/>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3D62A-6504-4E66-9679-FB2986974408}">
  <sheetPr codeName="Sheet22"/>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2" style="6" bestFit="1" customWidth="1"/>
    <col min="8" max="8" width="9.85546875" style="6" bestFit="1" customWidth="1"/>
    <col min="9" max="16384" width="11.42578125" style="6"/>
  </cols>
  <sheetData>
    <row r="1" spans="1:8">
      <c r="A1" s="166" t="str">
        <f>Data!B20</f>
        <v>SHANKAR ANNAMALAI</v>
      </c>
      <c r="B1" s="91"/>
      <c r="C1" s="91"/>
      <c r="D1" s="91"/>
      <c r="E1" s="92"/>
      <c r="F1" s="6" t="str">
        <f>Data!P20</f>
        <v>BOB</v>
      </c>
      <c r="G1" s="7"/>
      <c r="H1" s="8" t="str">
        <f>Data!AX20</f>
        <v>Builder</v>
      </c>
    </row>
    <row r="2" spans="1:8">
      <c r="A2" s="111" t="s">
        <v>105</v>
      </c>
      <c r="B2" s="111"/>
      <c r="C2" s="111"/>
      <c r="D2" s="111"/>
      <c r="E2" s="111"/>
      <c r="G2" s="9" t="s">
        <v>56</v>
      </c>
      <c r="H2" s="9" t="s">
        <v>57</v>
      </c>
    </row>
    <row r="3" spans="1:8">
      <c r="A3" s="116" t="s">
        <v>58</v>
      </c>
      <c r="B3" s="117" t="str">
        <f>Data!A20</f>
        <v>0604</v>
      </c>
      <c r="C3" s="118" t="s">
        <v>59</v>
      </c>
      <c r="D3" s="119" t="s">
        <v>106</v>
      </c>
      <c r="E3" s="129">
        <f>Data!F20-'0604'!E4</f>
        <v>10001160</v>
      </c>
      <c r="G3" s="10">
        <f>E7-H3</f>
        <v>10501218</v>
      </c>
      <c r="H3" s="10"/>
    </row>
    <row r="4" spans="1:8">
      <c r="A4" s="116" t="s">
        <v>60</v>
      </c>
      <c r="B4" s="120" t="str">
        <f>Data!C20</f>
        <v>Tower-1</v>
      </c>
      <c r="C4" s="121" t="s">
        <v>61</v>
      </c>
      <c r="D4" s="122" t="s">
        <v>106</v>
      </c>
      <c r="E4" s="130">
        <f>(Data!F20*5)/105</f>
        <v>500058</v>
      </c>
      <c r="F4" s="7" t="s">
        <v>62</v>
      </c>
      <c r="G4" s="10">
        <f>G3-E18</f>
        <v>9976157</v>
      </c>
      <c r="H4" s="10">
        <f>H3-D18</f>
        <v>0</v>
      </c>
    </row>
    <row r="5" spans="1:8">
      <c r="A5" s="116" t="s">
        <v>63</v>
      </c>
      <c r="B5" s="123">
        <f>Data!E20</f>
        <v>1560</v>
      </c>
      <c r="C5" s="124" t="s">
        <v>52</v>
      </c>
      <c r="D5" s="125" t="s">
        <v>106</v>
      </c>
      <c r="E5" s="129">
        <f>SUM(E3:E4)</f>
        <v>10501218</v>
      </c>
    </row>
    <row r="6" spans="1:8">
      <c r="A6" s="116" t="s">
        <v>34</v>
      </c>
      <c r="B6" s="123" t="str">
        <f>Data!D20</f>
        <v>3 BHK</v>
      </c>
      <c r="C6" s="80" t="s">
        <v>64</v>
      </c>
      <c r="D6" s="119" t="s">
        <v>106</v>
      </c>
      <c r="E6" s="130">
        <v>0</v>
      </c>
    </row>
    <row r="7" spans="1:8">
      <c r="A7" s="116" t="s">
        <v>65</v>
      </c>
      <c r="B7" s="126" t="str">
        <f>Data!V20</f>
        <v>RRL PAB013</v>
      </c>
      <c r="C7" s="127" t="s">
        <v>66</v>
      </c>
      <c r="D7" s="128" t="s">
        <v>106</v>
      </c>
      <c r="E7" s="131">
        <f>ROUND(SUM(E5:E6),0)</f>
        <v>10501218</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2100243.6</v>
      </c>
      <c r="C11" s="114" t="s">
        <v>307</v>
      </c>
      <c r="D11" s="115">
        <v>0</v>
      </c>
      <c r="E11" s="115"/>
      <c r="F11" s="11"/>
    </row>
    <row r="12" spans="1:8">
      <c r="A12" s="112" t="s">
        <v>73</v>
      </c>
      <c r="B12" s="113">
        <f>$E$7*20%</f>
        <v>2100243.6</v>
      </c>
      <c r="C12" s="114" t="s">
        <v>286</v>
      </c>
      <c r="D12" s="115">
        <v>0</v>
      </c>
      <c r="E12" s="115">
        <v>300000</v>
      </c>
      <c r="F12" s="4" t="s">
        <v>381</v>
      </c>
    </row>
    <row r="13" spans="1:8">
      <c r="A13" s="112" t="s">
        <v>74</v>
      </c>
      <c r="B13" s="113">
        <f>$E$7*20%</f>
        <v>2100243.6</v>
      </c>
      <c r="C13" s="114" t="s">
        <v>942</v>
      </c>
      <c r="D13" s="115">
        <v>0</v>
      </c>
      <c r="E13" s="115">
        <v>225061</v>
      </c>
      <c r="F13" s="4" t="s">
        <v>935</v>
      </c>
    </row>
    <row r="14" spans="1:8">
      <c r="A14" s="112" t="s">
        <v>75</v>
      </c>
      <c r="B14" s="113">
        <f>$E$7*15%</f>
        <v>1575182.7</v>
      </c>
      <c r="C14" s="114"/>
      <c r="D14" s="115">
        <v>0</v>
      </c>
      <c r="E14" s="115"/>
      <c r="F14" s="11"/>
    </row>
    <row r="15" spans="1:8">
      <c r="A15" s="112" t="s">
        <v>185</v>
      </c>
      <c r="B15" s="113">
        <f>$E$7*5%</f>
        <v>525060.9</v>
      </c>
      <c r="C15" s="114"/>
      <c r="D15" s="115">
        <v>0</v>
      </c>
      <c r="E15" s="115"/>
      <c r="F15" s="11"/>
    </row>
    <row r="16" spans="1:8">
      <c r="A16" s="112" t="s">
        <v>184</v>
      </c>
      <c r="B16" s="113">
        <f>$E$7*15%</f>
        <v>1575182.7</v>
      </c>
      <c r="C16" s="114"/>
      <c r="D16" s="115">
        <v>0</v>
      </c>
      <c r="E16" s="115"/>
      <c r="F16" s="11"/>
    </row>
    <row r="17" spans="1:8">
      <c r="A17" s="112" t="s">
        <v>76</v>
      </c>
      <c r="B17" s="113">
        <f>$E$7*5%</f>
        <v>525060.9</v>
      </c>
      <c r="C17" s="114"/>
      <c r="D17" s="115">
        <v>0</v>
      </c>
      <c r="E17" s="115"/>
      <c r="F17" s="11"/>
    </row>
    <row r="18" spans="1:8">
      <c r="A18" s="93"/>
      <c r="B18" s="94"/>
      <c r="C18" s="95" t="s">
        <v>77</v>
      </c>
      <c r="D18" s="96">
        <f>SUM(D11:D17)</f>
        <v>0</v>
      </c>
      <c r="E18" s="97">
        <f>SUM(E11:E17)</f>
        <v>525061</v>
      </c>
    </row>
    <row r="19" spans="1:8">
      <c r="A19" s="98"/>
      <c r="B19" s="99"/>
      <c r="C19" s="100"/>
      <c r="D19" s="101" t="s">
        <v>78</v>
      </c>
      <c r="E19" s="164">
        <f>D18+E18</f>
        <v>525061</v>
      </c>
    </row>
    <row r="20" spans="1:8" ht="16.5" thickBot="1">
      <c r="A20" s="102"/>
      <c r="B20" s="103"/>
      <c r="C20" s="100"/>
      <c r="D20" s="101" t="s">
        <v>79</v>
      </c>
      <c r="E20" s="165">
        <f>E7-E19</f>
        <v>9976157</v>
      </c>
    </row>
    <row r="21" spans="1:8" ht="16.5" thickTop="1">
      <c r="A21" s="98" t="str">
        <f>IF(B7="","","NOTE: "&amp;Data!R20)</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525061</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525061</v>
      </c>
      <c r="F30" s="6"/>
      <c r="G30" s="6"/>
      <c r="H30" s="6"/>
    </row>
    <row r="31" spans="1:8" s="15" customFormat="1">
      <c r="A31" s="6"/>
      <c r="B31" s="6"/>
      <c r="C31" s="7" t="s">
        <v>88</v>
      </c>
      <c r="D31" s="12">
        <f>B5*3*12</f>
        <v>56160</v>
      </c>
      <c r="E31" s="16" t="str">
        <f>IF(D31="","Maintenance will be paid to Association","")</f>
        <v/>
      </c>
      <c r="F31" s="6"/>
      <c r="G31" s="6"/>
      <c r="H31" s="6"/>
    </row>
    <row r="32" spans="1:8" s="15" customFormat="1">
      <c r="A32" s="6"/>
      <c r="B32" s="6"/>
      <c r="C32" s="7" t="s">
        <v>89</v>
      </c>
      <c r="D32" s="19">
        <f>IF(D31="","",D31*18%)</f>
        <v>10108.799999999999</v>
      </c>
      <c r="E32" s="20"/>
      <c r="F32" s="6"/>
      <c r="G32" s="6"/>
      <c r="H32" s="6"/>
    </row>
    <row r="33" spans="1:8" s="15" customFormat="1">
      <c r="A33" s="6"/>
      <c r="B33" s="6"/>
      <c r="C33" s="17" t="s">
        <v>90</v>
      </c>
      <c r="D33" s="13">
        <f>SUM(D31:D32)</f>
        <v>66268.800000000003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66268.800000000003</v>
      </c>
      <c r="E37" s="22">
        <f>SUM(E34:E36)+E33+E30</f>
        <v>525061</v>
      </c>
    </row>
    <row r="39" spans="1:8" ht="16.5" thickBot="1">
      <c r="C39" s="17" t="s">
        <v>95</v>
      </c>
      <c r="D39" s="23">
        <f>D37-E37</f>
        <v>-458792.2</v>
      </c>
      <c r="E39" s="24"/>
    </row>
    <row r="40" spans="1:8" ht="16.5" thickTop="1"/>
  </sheetData>
  <mergeCells count="4">
    <mergeCell ref="A9:A10"/>
    <mergeCell ref="B9:B10"/>
    <mergeCell ref="C9:C10"/>
    <mergeCell ref="D9:E9"/>
  </mergeCells>
  <hyperlinks>
    <hyperlink ref="A2:E2" location="Data!A1" display="PROJECT   NAME :  RRL PALACIO" xr:uid="{94BF831F-9A32-4E08-AA8D-A1725955B152}"/>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62083-471E-47BB-97F1-4C8042781547}">
  <sheetPr codeName="Sheet23"/>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Data!B21</f>
        <v>0</v>
      </c>
      <c r="B1" s="91"/>
      <c r="C1" s="91"/>
      <c r="D1" s="91"/>
      <c r="E1" s="92"/>
      <c r="F1" s="6">
        <f>Data!P21</f>
        <v>0</v>
      </c>
      <c r="G1" s="7"/>
      <c r="H1" s="8" t="str">
        <f>Data!AX21</f>
        <v>Builder</v>
      </c>
    </row>
    <row r="2" spans="1:8">
      <c r="A2" s="111" t="s">
        <v>105</v>
      </c>
      <c r="B2" s="111"/>
      <c r="C2" s="111"/>
      <c r="D2" s="111"/>
      <c r="E2" s="111"/>
      <c r="G2" s="9" t="s">
        <v>56</v>
      </c>
      <c r="H2" s="9" t="s">
        <v>57</v>
      </c>
    </row>
    <row r="3" spans="1:8">
      <c r="A3" s="116" t="s">
        <v>58</v>
      </c>
      <c r="B3" s="117" t="str">
        <f>Data!A21</f>
        <v>0605</v>
      </c>
      <c r="C3" s="118" t="s">
        <v>59</v>
      </c>
      <c r="D3" s="119" t="s">
        <v>106</v>
      </c>
      <c r="E3" s="129">
        <f>Data!F21-'0605'!E4</f>
        <v>0</v>
      </c>
      <c r="G3" s="10">
        <f>E7-H3</f>
        <v>0</v>
      </c>
      <c r="H3" s="10"/>
    </row>
    <row r="4" spans="1:8">
      <c r="A4" s="116" t="s">
        <v>60</v>
      </c>
      <c r="B4" s="120" t="str">
        <f>Data!C21</f>
        <v>Tower-1</v>
      </c>
      <c r="C4" s="121" t="s">
        <v>61</v>
      </c>
      <c r="D4" s="122" t="s">
        <v>106</v>
      </c>
      <c r="E4" s="130">
        <f>(Data!F21*5)/105</f>
        <v>0</v>
      </c>
      <c r="F4" s="7" t="s">
        <v>62</v>
      </c>
      <c r="G4" s="10">
        <f>G3-E18</f>
        <v>0</v>
      </c>
      <c r="H4" s="10">
        <f>H3-D18</f>
        <v>0</v>
      </c>
    </row>
    <row r="5" spans="1:8">
      <c r="A5" s="116" t="s">
        <v>63</v>
      </c>
      <c r="B5" s="123">
        <f>Data!E21</f>
        <v>1510</v>
      </c>
      <c r="C5" s="124" t="s">
        <v>52</v>
      </c>
      <c r="D5" s="125" t="s">
        <v>106</v>
      </c>
      <c r="E5" s="129">
        <f>SUM(E3:E4)</f>
        <v>0</v>
      </c>
    </row>
    <row r="6" spans="1:8">
      <c r="A6" s="116" t="s">
        <v>34</v>
      </c>
      <c r="B6" s="123" t="str">
        <f>Data!D21</f>
        <v>3 BHK</v>
      </c>
      <c r="C6" s="80" t="s">
        <v>64</v>
      </c>
      <c r="D6" s="119" t="s">
        <v>106</v>
      </c>
      <c r="E6" s="130">
        <v>0</v>
      </c>
    </row>
    <row r="7" spans="1:8">
      <c r="A7" s="116" t="s">
        <v>65</v>
      </c>
      <c r="B7" s="126">
        <f>Data!V21</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c r="E11" s="115"/>
      <c r="F11" s="11"/>
    </row>
    <row r="12" spans="1:8">
      <c r="A12" s="112" t="s">
        <v>73</v>
      </c>
      <c r="B12" s="113">
        <f>$E$7*20%</f>
        <v>0</v>
      </c>
      <c r="C12" s="114"/>
      <c r="D12" s="115"/>
      <c r="E12" s="115"/>
    </row>
    <row r="13" spans="1:8">
      <c r="A13" s="112" t="s">
        <v>74</v>
      </c>
      <c r="B13" s="113">
        <f>$E$7*20%</f>
        <v>0</v>
      </c>
      <c r="C13" s="114"/>
      <c r="D13" s="115"/>
      <c r="E13" s="115"/>
      <c r="F13" s="11"/>
    </row>
    <row r="14" spans="1:8">
      <c r="A14" s="112" t="s">
        <v>75</v>
      </c>
      <c r="B14" s="113">
        <f>$E$7*15%</f>
        <v>0</v>
      </c>
      <c r="C14" s="114"/>
      <c r="D14" s="115"/>
      <c r="E14" s="115"/>
      <c r="F14" s="11"/>
    </row>
    <row r="15" spans="1:8">
      <c r="A15" s="112" t="s">
        <v>185</v>
      </c>
      <c r="B15" s="113">
        <f>$E$7*5%</f>
        <v>0</v>
      </c>
      <c r="C15" s="114"/>
      <c r="D15" s="115"/>
      <c r="E15" s="115"/>
      <c r="F15" s="11"/>
    </row>
    <row r="16" spans="1:8">
      <c r="A16" s="112" t="s">
        <v>184</v>
      </c>
      <c r="B16" s="113">
        <f>$E$7*15%</f>
        <v>0</v>
      </c>
      <c r="C16" s="114"/>
      <c r="D16" s="115"/>
      <c r="E16" s="115"/>
      <c r="F16" s="11"/>
    </row>
    <row r="17" spans="1:8">
      <c r="A17" s="112" t="s">
        <v>76</v>
      </c>
      <c r="B17" s="113">
        <f>$E$7*5%</f>
        <v>0</v>
      </c>
      <c r="C17" s="114"/>
      <c r="D17" s="115"/>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"&amp;Data!R21)</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0</v>
      </c>
    </row>
    <row r="39" spans="1:8" ht="16.5" thickBot="1">
      <c r="C39" s="17" t="s">
        <v>95</v>
      </c>
      <c r="D39" s="23">
        <f>D37-E37</f>
        <v>64144.800000000003</v>
      </c>
      <c r="E39" s="24"/>
    </row>
    <row r="40" spans="1:8" ht="16.5" thickTop="1"/>
  </sheetData>
  <mergeCells count="4">
    <mergeCell ref="A9:A10"/>
    <mergeCell ref="B9:B10"/>
    <mergeCell ref="C9:C10"/>
    <mergeCell ref="D9:E9"/>
  </mergeCells>
  <hyperlinks>
    <hyperlink ref="A2:E2" location="Data!A1" display="PROJECT   NAME :  RRL PALACIO" xr:uid="{72001878-E2BF-4A5F-9743-FF0E0A4E4C68}"/>
  </hyperlinks>
  <pageMargins left="0.7" right="0.7" top="0.75" bottom="0.75" header="0.3" footer="0.3"/>
  <pageSetup paperSize="9"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E8858-D505-4E52-B522-EB2DA15B1C02}">
  <sheetPr codeName="Sheet24"/>
  <dimension ref="A1:H40"/>
  <sheetViews>
    <sheetView zoomScaleNormal="10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Data!B22</f>
        <v>MUTYALA JAGADEESH KALYAN SAIKUMAR</v>
      </c>
      <c r="B1" s="91"/>
      <c r="C1" s="91"/>
      <c r="D1" s="91"/>
      <c r="E1" s="92"/>
      <c r="F1" s="6" t="str">
        <f>Data!P22</f>
        <v>HDFC</v>
      </c>
      <c r="G1" s="7"/>
      <c r="H1" s="8" t="str">
        <f>Data!AX22</f>
        <v>Builder</v>
      </c>
    </row>
    <row r="2" spans="1:8">
      <c r="A2" s="111" t="s">
        <v>105</v>
      </c>
      <c r="B2" s="111"/>
      <c r="C2" s="111"/>
      <c r="D2" s="111"/>
      <c r="E2" s="111"/>
      <c r="G2" s="9" t="s">
        <v>56</v>
      </c>
      <c r="H2" s="9" t="s">
        <v>57</v>
      </c>
    </row>
    <row r="3" spans="1:8">
      <c r="A3" s="116" t="s">
        <v>58</v>
      </c>
      <c r="B3" s="117" t="str">
        <f>Data!A22</f>
        <v>0701</v>
      </c>
      <c r="C3" s="118" t="s">
        <v>59</v>
      </c>
      <c r="D3" s="119" t="s">
        <v>106</v>
      </c>
      <c r="E3" s="129">
        <f>Data!F22-'0701'!E4</f>
        <v>8349000</v>
      </c>
      <c r="G3" s="10">
        <f>E7-H3</f>
        <v>1266450</v>
      </c>
      <c r="H3" s="10">
        <v>7500000</v>
      </c>
    </row>
    <row r="4" spans="1:8">
      <c r="A4" s="116" t="s">
        <v>60</v>
      </c>
      <c r="B4" s="120" t="str">
        <f>Data!C22</f>
        <v>Tower-1</v>
      </c>
      <c r="C4" s="121" t="s">
        <v>61</v>
      </c>
      <c r="D4" s="122" t="s">
        <v>106</v>
      </c>
      <c r="E4" s="130">
        <f>(Data!F22*5)/105</f>
        <v>417450</v>
      </c>
      <c r="F4" s="7" t="s">
        <v>62</v>
      </c>
      <c r="G4" s="10">
        <f>G3-E18</f>
        <v>389805</v>
      </c>
      <c r="H4" s="10">
        <f>H3-D18</f>
        <v>7500000</v>
      </c>
    </row>
    <row r="5" spans="1:8">
      <c r="A5" s="116" t="s">
        <v>63</v>
      </c>
      <c r="B5" s="123">
        <f>Data!E22</f>
        <v>1265</v>
      </c>
      <c r="C5" s="124" t="s">
        <v>52</v>
      </c>
      <c r="D5" s="125" t="s">
        <v>106</v>
      </c>
      <c r="E5" s="129">
        <f>SUM(E3:E4)</f>
        <v>8766450</v>
      </c>
    </row>
    <row r="6" spans="1:8">
      <c r="A6" s="116" t="s">
        <v>34</v>
      </c>
      <c r="B6" s="123" t="str">
        <f>Data!D22</f>
        <v>2 BHK</v>
      </c>
      <c r="C6" s="80" t="s">
        <v>64</v>
      </c>
      <c r="D6" s="119" t="s">
        <v>106</v>
      </c>
      <c r="E6" s="130">
        <v>0</v>
      </c>
    </row>
    <row r="7" spans="1:8">
      <c r="A7" s="116" t="s">
        <v>65</v>
      </c>
      <c r="B7" s="126" t="str">
        <f>Data!V22</f>
        <v>RRL PAB028</v>
      </c>
      <c r="C7" s="127" t="s">
        <v>66</v>
      </c>
      <c r="D7" s="128" t="s">
        <v>106</v>
      </c>
      <c r="E7" s="131">
        <f>ROUND(SUM(E5:E6),0)</f>
        <v>8766450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1753290</v>
      </c>
      <c r="C11" s="114" t="s">
        <v>573</v>
      </c>
      <c r="D11" s="115">
        <v>0</v>
      </c>
      <c r="E11" s="115"/>
      <c r="F11" s="11"/>
    </row>
    <row r="12" spans="1:8">
      <c r="A12" s="112" t="s">
        <v>73</v>
      </c>
      <c r="B12" s="113">
        <f>$E$7*20%</f>
        <v>1753290</v>
      </c>
      <c r="C12" s="114" t="s">
        <v>563</v>
      </c>
      <c r="D12" s="115">
        <v>0</v>
      </c>
      <c r="E12" s="115">
        <v>116</v>
      </c>
      <c r="F12" s="4" t="s">
        <v>559</v>
      </c>
    </row>
    <row r="13" spans="1:8">
      <c r="A13" s="112" t="s">
        <v>74</v>
      </c>
      <c r="B13" s="113">
        <f>$E$7*20%</f>
        <v>1753290</v>
      </c>
      <c r="C13" s="114" t="s">
        <v>564</v>
      </c>
      <c r="D13" s="115">
        <v>0</v>
      </c>
      <c r="E13" s="115">
        <v>49000</v>
      </c>
      <c r="F13" s="4" t="s">
        <v>565</v>
      </c>
    </row>
    <row r="14" spans="1:8">
      <c r="A14" s="112" t="s">
        <v>75</v>
      </c>
      <c r="B14" s="113">
        <f>$E$7*15%</f>
        <v>1314967.5</v>
      </c>
      <c r="C14" s="114" t="s">
        <v>579</v>
      </c>
      <c r="D14" s="115">
        <v>0</v>
      </c>
      <c r="E14" s="115">
        <v>151000</v>
      </c>
      <c r="F14" s="4" t="s">
        <v>567</v>
      </c>
    </row>
    <row r="15" spans="1:8">
      <c r="A15" s="112" t="s">
        <v>185</v>
      </c>
      <c r="B15" s="113">
        <f>$E$7*5%</f>
        <v>438322.5</v>
      </c>
      <c r="C15" s="114" t="s">
        <v>838</v>
      </c>
      <c r="D15" s="115">
        <v>0</v>
      </c>
      <c r="E15" s="115">
        <v>676529</v>
      </c>
      <c r="F15" s="4" t="s">
        <v>834</v>
      </c>
    </row>
    <row r="16" spans="1:8">
      <c r="A16" s="112" t="s">
        <v>184</v>
      </c>
      <c r="B16" s="113">
        <f>$E$7*15%</f>
        <v>1314967.5</v>
      </c>
      <c r="C16" s="114"/>
      <c r="D16" s="115">
        <v>0</v>
      </c>
      <c r="E16" s="115"/>
      <c r="F16" s="11"/>
    </row>
    <row r="17" spans="1:8">
      <c r="A17" s="112" t="s">
        <v>76</v>
      </c>
      <c r="B17" s="113">
        <f>$E$7*5%</f>
        <v>438322.5</v>
      </c>
      <c r="C17" s="114"/>
      <c r="D17" s="115">
        <v>0</v>
      </c>
      <c r="E17" s="115"/>
      <c r="F17" s="11"/>
    </row>
    <row r="18" spans="1:8">
      <c r="A18" s="93"/>
      <c r="B18" s="94"/>
      <c r="C18" s="95" t="s">
        <v>77</v>
      </c>
      <c r="D18" s="96">
        <f>SUM(D11:D17)</f>
        <v>0</v>
      </c>
      <c r="E18" s="97">
        <f>SUM(E11:E17)</f>
        <v>876645</v>
      </c>
    </row>
    <row r="19" spans="1:8">
      <c r="A19" s="98"/>
      <c r="B19" s="99"/>
      <c r="C19" s="100"/>
      <c r="D19" s="101" t="s">
        <v>78</v>
      </c>
      <c r="E19" s="164">
        <f>D18+E18</f>
        <v>876645</v>
      </c>
    </row>
    <row r="20" spans="1:8" ht="16.5" thickBot="1">
      <c r="A20" s="102"/>
      <c r="B20" s="103"/>
      <c r="C20" s="100"/>
      <c r="D20" s="101" t="s">
        <v>79</v>
      </c>
      <c r="E20" s="165">
        <f>E7-E19</f>
        <v>7889805</v>
      </c>
    </row>
    <row r="21" spans="1:8" ht="16.5" thickTop="1">
      <c r="A21" s="98" t="str">
        <f>IF(B7="","","NOTE: "&amp;Data!R22)</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876645</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876645</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876645</v>
      </c>
    </row>
    <row r="39" spans="1:8" ht="16.5" thickBot="1">
      <c r="C39" s="17" t="s">
        <v>95</v>
      </c>
      <c r="D39" s="23">
        <f>D37-E37</f>
        <v>-822907.8</v>
      </c>
      <c r="E39" s="24"/>
    </row>
    <row r="40" spans="1:8" ht="16.5" thickTop="1"/>
  </sheetData>
  <mergeCells count="4">
    <mergeCell ref="A9:A10"/>
    <mergeCell ref="B9:B10"/>
    <mergeCell ref="C9:C10"/>
    <mergeCell ref="D9:E9"/>
  </mergeCells>
  <hyperlinks>
    <hyperlink ref="A2:E2" location="Data!A1" display="PROJECT   NAME :  RRL PALACIO" xr:uid="{F88ED6E1-47AC-4877-831A-67FBC1421E2F}"/>
  </hyperlinks>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DF28B-D296-49C8-932B-CA33147BCA75}">
  <sheetPr codeName="Sheet42"/>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Data!B23</f>
        <v>RITIKA SARKHEL AND SHUBHENDU BHATTACHARYA</v>
      </c>
      <c r="B1" s="91"/>
      <c r="C1" s="91"/>
      <c r="D1" s="91"/>
      <c r="E1" s="92"/>
      <c r="F1" s="6" t="str">
        <f>Data!P23</f>
        <v>CANARA</v>
      </c>
      <c r="G1" s="7"/>
      <c r="H1" s="8" t="str">
        <f>Data!AX23</f>
        <v>Builder</v>
      </c>
    </row>
    <row r="2" spans="1:8">
      <c r="A2" s="111" t="s">
        <v>105</v>
      </c>
      <c r="B2" s="111"/>
      <c r="C2" s="111"/>
      <c r="D2" s="111"/>
      <c r="E2" s="111"/>
      <c r="G2" s="9" t="s">
        <v>56</v>
      </c>
      <c r="H2" s="9" t="s">
        <v>57</v>
      </c>
    </row>
    <row r="3" spans="1:8">
      <c r="A3" s="116" t="s">
        <v>58</v>
      </c>
      <c r="B3" s="117" t="str">
        <f>Data!A23</f>
        <v>0702</v>
      </c>
      <c r="C3" s="118" t="s">
        <v>59</v>
      </c>
      <c r="D3" s="119" t="s">
        <v>106</v>
      </c>
      <c r="E3" s="129">
        <f>Data!F23-'0702'!E4</f>
        <v>9717500</v>
      </c>
      <c r="G3" s="10">
        <f>E7-H3</f>
        <v>2553375</v>
      </c>
      <c r="H3" s="10">
        <v>7650000</v>
      </c>
    </row>
    <row r="4" spans="1:8">
      <c r="A4" s="116" t="s">
        <v>60</v>
      </c>
      <c r="B4" s="120" t="str">
        <f>Data!C23</f>
        <v>Tower-1</v>
      </c>
      <c r="C4" s="121" t="s">
        <v>61</v>
      </c>
      <c r="D4" s="122" t="s">
        <v>106</v>
      </c>
      <c r="E4" s="130">
        <f>(Data!F23*5)/105</f>
        <v>485875</v>
      </c>
      <c r="F4" s="7" t="s">
        <v>62</v>
      </c>
      <c r="G4" s="10">
        <f>G3-E18</f>
        <v>553375</v>
      </c>
      <c r="H4" s="10">
        <f>H3-D18</f>
        <v>5568650</v>
      </c>
    </row>
    <row r="5" spans="1:8">
      <c r="A5" s="116" t="s">
        <v>63</v>
      </c>
      <c r="B5" s="123">
        <f>Data!E23</f>
        <v>1495</v>
      </c>
      <c r="C5" s="124" t="s">
        <v>52</v>
      </c>
      <c r="D5" s="125" t="s">
        <v>106</v>
      </c>
      <c r="E5" s="129">
        <f>SUM(E3:E4)</f>
        <v>10203375</v>
      </c>
    </row>
    <row r="6" spans="1:8">
      <c r="A6" s="116" t="s">
        <v>34</v>
      </c>
      <c r="B6" s="123" t="str">
        <f>Data!D23</f>
        <v>3 BHK</v>
      </c>
      <c r="C6" s="80" t="s">
        <v>64</v>
      </c>
      <c r="D6" s="119" t="s">
        <v>106</v>
      </c>
      <c r="E6" s="130">
        <v>0</v>
      </c>
    </row>
    <row r="7" spans="1:8">
      <c r="A7" s="116" t="s">
        <v>65</v>
      </c>
      <c r="B7" s="126" t="str">
        <f>Data!V23</f>
        <v>RRL PAB017</v>
      </c>
      <c r="C7" s="127" t="s">
        <v>66</v>
      </c>
      <c r="D7" s="128" t="s">
        <v>106</v>
      </c>
      <c r="E7" s="131">
        <f>ROUND(SUM(E5:E6),0)</f>
        <v>10203375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2040675</v>
      </c>
      <c r="C11" s="114" t="s">
        <v>308</v>
      </c>
      <c r="D11" s="115">
        <v>0</v>
      </c>
      <c r="E11" s="115"/>
      <c r="F11" s="11"/>
    </row>
    <row r="12" spans="1:8">
      <c r="A12" s="112" t="s">
        <v>73</v>
      </c>
      <c r="B12" s="113">
        <f>$E$7*20%</f>
        <v>2040675</v>
      </c>
      <c r="C12" s="114" t="s">
        <v>290</v>
      </c>
      <c r="D12" s="115">
        <v>0</v>
      </c>
      <c r="E12" s="115">
        <v>100000</v>
      </c>
      <c r="F12" s="4" t="s">
        <v>391</v>
      </c>
    </row>
    <row r="13" spans="1:8">
      <c r="A13" s="112" t="s">
        <v>74</v>
      </c>
      <c r="B13" s="113">
        <f>$E$7*20%</f>
        <v>2040675</v>
      </c>
      <c r="C13" s="114" t="s">
        <v>293</v>
      </c>
      <c r="D13" s="115">
        <v>0</v>
      </c>
      <c r="E13" s="115">
        <v>100000</v>
      </c>
      <c r="F13" s="4" t="s">
        <v>392</v>
      </c>
    </row>
    <row r="14" spans="1:8">
      <c r="A14" s="112" t="s">
        <v>75</v>
      </c>
      <c r="B14" s="113">
        <f>$E$7*15%</f>
        <v>1530506.25</v>
      </c>
      <c r="C14" s="114" t="s">
        <v>967</v>
      </c>
      <c r="D14" s="115">
        <v>0</v>
      </c>
      <c r="E14" s="115">
        <v>1800000</v>
      </c>
      <c r="F14" s="4" t="s">
        <v>966</v>
      </c>
    </row>
    <row r="15" spans="1:8">
      <c r="A15" s="112" t="s">
        <v>185</v>
      </c>
      <c r="B15" s="113">
        <f>$E$7*5%</f>
        <v>510168.75</v>
      </c>
      <c r="C15" s="114" t="s">
        <v>970</v>
      </c>
      <c r="D15" s="115">
        <v>2081350</v>
      </c>
      <c r="E15" s="115"/>
      <c r="F15" s="4" t="s">
        <v>969</v>
      </c>
    </row>
    <row r="16" spans="1:8">
      <c r="A16" s="112" t="s">
        <v>184</v>
      </c>
      <c r="B16" s="113">
        <f>$E$7*15%</f>
        <v>1530506.25</v>
      </c>
      <c r="C16" s="114"/>
      <c r="D16" s="115">
        <v>0</v>
      </c>
      <c r="E16" s="115"/>
      <c r="F16" s="11"/>
    </row>
    <row r="17" spans="1:8">
      <c r="A17" s="112" t="s">
        <v>76</v>
      </c>
      <c r="B17" s="113">
        <f>$E$7*5%</f>
        <v>510168.75</v>
      </c>
      <c r="C17" s="114"/>
      <c r="D17" s="115">
        <v>0</v>
      </c>
      <c r="E17" s="115"/>
      <c r="F17" s="11"/>
    </row>
    <row r="18" spans="1:8">
      <c r="A18" s="93"/>
      <c r="B18" s="94"/>
      <c r="C18" s="95" t="s">
        <v>77</v>
      </c>
      <c r="D18" s="96">
        <f>SUM(D11:D17)</f>
        <v>2081350</v>
      </c>
      <c r="E18" s="97">
        <f>SUM(E11:E17)</f>
        <v>2000000</v>
      </c>
    </row>
    <row r="19" spans="1:8">
      <c r="A19" s="98"/>
      <c r="B19" s="99"/>
      <c r="C19" s="100"/>
      <c r="D19" s="101" t="s">
        <v>78</v>
      </c>
      <c r="E19" s="164">
        <f>D18+E18</f>
        <v>4081350</v>
      </c>
    </row>
    <row r="20" spans="1:8" ht="16.5" thickBot="1">
      <c r="A20" s="102"/>
      <c r="B20" s="103"/>
      <c r="C20" s="100"/>
      <c r="D20" s="101" t="s">
        <v>79</v>
      </c>
      <c r="E20" s="165">
        <f>E7-E19</f>
        <v>6122025</v>
      </c>
    </row>
    <row r="21" spans="1:8" ht="16.5" thickTop="1">
      <c r="A21" s="98" t="str">
        <f>IF(B7="","","NOTE: "&amp;Data!R23)</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4081350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4081350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4081350</v>
      </c>
    </row>
    <row r="39" spans="1:8" ht="16.5" thickBot="1">
      <c r="C39" s="17" t="s">
        <v>95</v>
      </c>
      <c r="D39" s="23">
        <f>D37-E37</f>
        <v>-4017842.4</v>
      </c>
      <c r="E39" s="24"/>
    </row>
    <row r="40" spans="1:8" ht="16.5" thickTop="1"/>
  </sheetData>
  <mergeCells count="4">
    <mergeCell ref="A9:A10"/>
    <mergeCell ref="B9:B10"/>
    <mergeCell ref="C9:C10"/>
    <mergeCell ref="D9:E9"/>
  </mergeCells>
  <hyperlinks>
    <hyperlink ref="A2:E2" location="Data!A1" display="PROJECT   NAME :  RRL PALACIO" xr:uid="{A1148BAE-49EF-4E0C-98A6-F15A152EB799}"/>
  </hyperlinks>
  <pageMargins left="0.7" right="0.7" top="0.75" bottom="0.75" header="0.3" footer="0.3"/>
  <pageSetup paperSize="9"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B8213-AEA0-4DC3-AEA1-B06453355D99}">
  <sheetPr codeName="Sheet50"/>
  <dimension ref="A1:H42"/>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42578125" style="12" customWidth="1"/>
    <col min="6" max="6" width="5.7109375" style="6" customWidth="1"/>
    <col min="7" max="7" width="11.5703125" style="6" bestFit="1" customWidth="1"/>
    <col min="8" max="8" width="9.85546875" style="6" bestFit="1" customWidth="1"/>
    <col min="9" max="16384" width="11.42578125" style="6"/>
  </cols>
  <sheetData>
    <row r="1" spans="1:8">
      <c r="A1" s="166" t="str">
        <f>Data!B26</f>
        <v>REDDIMASI MOHAN BABU</v>
      </c>
      <c r="B1" s="91"/>
      <c r="C1" s="91"/>
      <c r="D1" s="91"/>
      <c r="E1" s="92"/>
      <c r="F1" s="6">
        <f>Data!P26</f>
        <v>0</v>
      </c>
      <c r="G1" s="7"/>
      <c r="H1" s="8" t="str">
        <f>Data!AX26</f>
        <v>Builder</v>
      </c>
    </row>
    <row r="2" spans="1:8">
      <c r="A2" s="111" t="s">
        <v>105</v>
      </c>
      <c r="B2" s="111"/>
      <c r="C2" s="111"/>
      <c r="D2" s="111"/>
      <c r="E2" s="111"/>
      <c r="G2" s="9" t="s">
        <v>56</v>
      </c>
      <c r="H2" s="9" t="s">
        <v>57</v>
      </c>
    </row>
    <row r="3" spans="1:8">
      <c r="A3" s="116" t="s">
        <v>58</v>
      </c>
      <c r="B3" s="117" t="str">
        <f>Data!A26</f>
        <v>0705</v>
      </c>
      <c r="C3" s="118" t="s">
        <v>59</v>
      </c>
      <c r="D3" s="119" t="s">
        <v>106</v>
      </c>
      <c r="E3" s="129">
        <f>Data!F26-'0705'!E4</f>
        <v>10041500</v>
      </c>
      <c r="G3" s="10">
        <f>E7-H3</f>
        <v>1913185</v>
      </c>
      <c r="H3" s="10">
        <v>8630390</v>
      </c>
    </row>
    <row r="4" spans="1:8">
      <c r="A4" s="116" t="s">
        <v>60</v>
      </c>
      <c r="B4" s="120" t="str">
        <f>Data!C26</f>
        <v>Tower-1</v>
      </c>
      <c r="C4" s="121" t="s">
        <v>61</v>
      </c>
      <c r="D4" s="122" t="s">
        <v>106</v>
      </c>
      <c r="E4" s="130">
        <f>(Data!F26*5)/105</f>
        <v>502075</v>
      </c>
      <c r="F4" s="7" t="s">
        <v>62</v>
      </c>
      <c r="G4" s="10">
        <f>G3-E20</f>
        <v>963185</v>
      </c>
      <c r="H4" s="10">
        <f>H3-D20</f>
        <v>5775190</v>
      </c>
    </row>
    <row r="5" spans="1:8">
      <c r="A5" s="116" t="s">
        <v>63</v>
      </c>
      <c r="B5" s="123">
        <f>Data!E26</f>
        <v>1510</v>
      </c>
      <c r="C5" s="124" t="s">
        <v>52</v>
      </c>
      <c r="D5" s="125" t="s">
        <v>106</v>
      </c>
      <c r="E5" s="129">
        <f>SUM(E3:E4)</f>
        <v>10543575</v>
      </c>
    </row>
    <row r="6" spans="1:8">
      <c r="A6" s="116" t="s">
        <v>34</v>
      </c>
      <c r="B6" s="123" t="str">
        <f>Data!D26</f>
        <v>3 BHK</v>
      </c>
      <c r="C6" s="80" t="s">
        <v>64</v>
      </c>
      <c r="D6" s="119" t="s">
        <v>106</v>
      </c>
      <c r="E6" s="130">
        <v>0</v>
      </c>
    </row>
    <row r="7" spans="1:8">
      <c r="A7" s="116" t="s">
        <v>65</v>
      </c>
      <c r="B7" s="126" t="str">
        <f>Data!V26</f>
        <v>RRL PAB025</v>
      </c>
      <c r="C7" s="127" t="s">
        <v>66</v>
      </c>
      <c r="D7" s="128" t="s">
        <v>106</v>
      </c>
      <c r="E7" s="131">
        <f>ROUND(SUM(E5:E6),0)</f>
        <v>10543575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2108715</v>
      </c>
      <c r="C11" s="114" t="s">
        <v>469</v>
      </c>
      <c r="D11" s="115">
        <v>0</v>
      </c>
      <c r="E11" s="115">
        <v>50000</v>
      </c>
      <c r="F11" s="4" t="s">
        <v>490</v>
      </c>
    </row>
    <row r="12" spans="1:8">
      <c r="A12" s="112" t="s">
        <v>73</v>
      </c>
      <c r="B12" s="113">
        <f>$E$7*20%</f>
        <v>2108715</v>
      </c>
      <c r="C12" s="114" t="s">
        <v>470</v>
      </c>
      <c r="D12" s="115">
        <v>0</v>
      </c>
      <c r="E12" s="115">
        <v>40000</v>
      </c>
      <c r="F12" s="4" t="s">
        <v>493</v>
      </c>
    </row>
    <row r="13" spans="1:8">
      <c r="A13" s="112" t="s">
        <v>74</v>
      </c>
      <c r="B13" s="113">
        <f>$E$7*20%</f>
        <v>2108715</v>
      </c>
      <c r="C13" s="114" t="s">
        <v>696</v>
      </c>
      <c r="D13" s="115">
        <v>0</v>
      </c>
      <c r="E13" s="115">
        <v>10000</v>
      </c>
      <c r="F13" s="4" t="s">
        <v>707</v>
      </c>
    </row>
    <row r="14" spans="1:8">
      <c r="A14" s="112" t="s">
        <v>75</v>
      </c>
      <c r="B14" s="113">
        <f>$E$7*15%</f>
        <v>1581536.25</v>
      </c>
      <c r="C14" s="114" t="s">
        <v>705</v>
      </c>
      <c r="D14" s="115">
        <v>0</v>
      </c>
      <c r="E14" s="115">
        <v>100000</v>
      </c>
      <c r="F14" s="4" t="s">
        <v>708</v>
      </c>
    </row>
    <row r="15" spans="1:8">
      <c r="A15" s="112" t="s">
        <v>185</v>
      </c>
      <c r="B15" s="113">
        <f>$E$7*5%</f>
        <v>527178.75</v>
      </c>
      <c r="C15" s="114" t="s">
        <v>791</v>
      </c>
      <c r="D15" s="115">
        <v>0</v>
      </c>
      <c r="E15" s="115">
        <v>300000</v>
      </c>
      <c r="F15" s="4" t="s">
        <v>799</v>
      </c>
    </row>
    <row r="16" spans="1:8">
      <c r="A16" s="112" t="s">
        <v>184</v>
      </c>
      <c r="B16" s="113">
        <f>$E$7*15%</f>
        <v>1581536.25</v>
      </c>
      <c r="C16" s="114" t="s">
        <v>792</v>
      </c>
      <c r="D16" s="115">
        <v>0</v>
      </c>
      <c r="E16" s="115">
        <v>1000</v>
      </c>
      <c r="F16" s="4" t="s">
        <v>803</v>
      </c>
    </row>
    <row r="17" spans="1:8">
      <c r="A17" s="112" t="s">
        <v>76</v>
      </c>
      <c r="B17" s="113">
        <f>$E$7*5%</f>
        <v>527178.75</v>
      </c>
      <c r="C17" s="114" t="s">
        <v>793</v>
      </c>
      <c r="D17" s="115">
        <v>0</v>
      </c>
      <c r="E17" s="115">
        <v>449000</v>
      </c>
      <c r="F17" s="4" t="s">
        <v>804</v>
      </c>
    </row>
    <row r="18" spans="1:8">
      <c r="A18" s="112"/>
      <c r="B18" s="113"/>
      <c r="C18" s="114" t="s">
        <v>1063</v>
      </c>
      <c r="D18" s="115">
        <v>2855200</v>
      </c>
      <c r="E18" s="115"/>
      <c r="F18" s="4"/>
    </row>
    <row r="19" spans="1:8">
      <c r="A19" s="112"/>
      <c r="B19" s="113"/>
      <c r="C19" s="114"/>
      <c r="D19" s="115">
        <v>0</v>
      </c>
      <c r="E19" s="115"/>
      <c r="F19" s="11"/>
    </row>
    <row r="20" spans="1:8">
      <c r="A20" s="93"/>
      <c r="B20" s="94"/>
      <c r="C20" s="95" t="s">
        <v>77</v>
      </c>
      <c r="D20" s="96">
        <f>SUM(D11:D19)</f>
        <v>2855200</v>
      </c>
      <c r="E20" s="97">
        <f>SUM(E11:E19)</f>
        <v>950000</v>
      </c>
    </row>
    <row r="21" spans="1:8">
      <c r="A21" s="98"/>
      <c r="B21" s="99"/>
      <c r="C21" s="100"/>
      <c r="D21" s="101" t="s">
        <v>78</v>
      </c>
      <c r="E21" s="164">
        <f>D20+E20</f>
        <v>3805200</v>
      </c>
    </row>
    <row r="22" spans="1:8" ht="16.5" thickBot="1">
      <c r="A22" s="102"/>
      <c r="B22" s="103"/>
      <c r="C22" s="100"/>
      <c r="D22" s="101" t="s">
        <v>79</v>
      </c>
      <c r="E22" s="165">
        <f>E7-E21</f>
        <v>6738375</v>
      </c>
    </row>
    <row r="23" spans="1:8" ht="16.5" thickTop="1">
      <c r="A23" s="98" t="str">
        <f>IF(B7="","","NOTE: "&amp;Data!R26)</f>
        <v>NOTE: EXCLUDING GOVERNMENT CHARGES, MAINTENANCE</v>
      </c>
      <c r="B23" s="99"/>
      <c r="C23" s="99"/>
      <c r="D23" s="99"/>
      <c r="E23" s="104"/>
    </row>
    <row r="24" spans="1:8">
      <c r="A24" s="105"/>
      <c r="B24" s="106"/>
      <c r="C24" s="106"/>
      <c r="D24" s="106"/>
      <c r="E24" s="107"/>
    </row>
    <row r="26" spans="1:8">
      <c r="D26" s="13" t="s">
        <v>80</v>
      </c>
      <c r="E26" s="14" t="s">
        <v>81</v>
      </c>
    </row>
    <row r="27" spans="1:8">
      <c r="C27" s="7" t="s">
        <v>82</v>
      </c>
      <c r="E27" s="16">
        <f>E21</f>
        <v>3805200</v>
      </c>
    </row>
    <row r="28" spans="1:8">
      <c r="C28" s="7" t="s">
        <v>83</v>
      </c>
      <c r="D28" s="12">
        <v>0</v>
      </c>
      <c r="E28" s="16"/>
    </row>
    <row r="29" spans="1:8">
      <c r="C29" s="17" t="s">
        <v>84</v>
      </c>
      <c r="D29" s="13">
        <f>SUM(D27:D28)</f>
        <v>0</v>
      </c>
      <c r="E29" s="16"/>
    </row>
    <row r="30" spans="1:8" s="15" customFormat="1">
      <c r="A30" s="6"/>
      <c r="B30" s="6"/>
      <c r="C30" s="7" t="s">
        <v>85</v>
      </c>
      <c r="D30" s="12">
        <f>D29*5%</f>
        <v>0</v>
      </c>
      <c r="E30" s="18"/>
      <c r="F30" s="6"/>
      <c r="G30" s="6"/>
      <c r="H30" s="6"/>
    </row>
    <row r="31" spans="1:8" s="15" customFormat="1">
      <c r="A31" s="6"/>
      <c r="B31" s="6"/>
      <c r="C31" s="7" t="s">
        <v>86</v>
      </c>
      <c r="D31" s="19">
        <v>0</v>
      </c>
      <c r="E31" s="20"/>
      <c r="F31" s="6"/>
      <c r="G31" s="6"/>
      <c r="H31" s="6"/>
    </row>
    <row r="32" spans="1:8" s="15" customFormat="1">
      <c r="A32" s="6"/>
      <c r="B32" s="6"/>
      <c r="C32" s="17" t="s">
        <v>87</v>
      </c>
      <c r="D32" s="13">
        <f>D29+D30+D31</f>
        <v>0</v>
      </c>
      <c r="E32" s="14">
        <f>SUM(E27:E31)</f>
        <v>3805200</v>
      </c>
      <c r="F32" s="6"/>
      <c r="G32" s="6"/>
      <c r="H32" s="6"/>
    </row>
    <row r="33" spans="1:8" s="15" customFormat="1">
      <c r="A33" s="6"/>
      <c r="B33" s="6"/>
      <c r="C33" s="7" t="s">
        <v>88</v>
      </c>
      <c r="D33" s="12">
        <f>B5*3*12</f>
        <v>54360</v>
      </c>
      <c r="E33" s="16" t="str">
        <f>IF(D33="","Maintenance will be paid to Association","")</f>
        <v/>
      </c>
      <c r="F33" s="6"/>
      <c r="G33" s="6"/>
      <c r="H33" s="6"/>
    </row>
    <row r="34" spans="1:8" s="15" customFormat="1">
      <c r="A34" s="6"/>
      <c r="B34" s="6"/>
      <c r="C34" s="7" t="s">
        <v>89</v>
      </c>
      <c r="D34" s="19">
        <f>IF(D33="","",D33*18%)</f>
        <v>9784.7999999999993</v>
      </c>
      <c r="E34" s="20"/>
      <c r="F34" s="6"/>
      <c r="G34" s="6"/>
      <c r="H34" s="6"/>
    </row>
    <row r="35" spans="1:8" s="15" customFormat="1">
      <c r="A35" s="6"/>
      <c r="B35" s="6"/>
      <c r="C35" s="17" t="s">
        <v>90</v>
      </c>
      <c r="D35" s="13">
        <f>SUM(D33:D34)</f>
        <v>64144.800000000003</v>
      </c>
      <c r="E35" s="14">
        <f>SUM(E33:E34)</f>
        <v>0</v>
      </c>
      <c r="F35" s="6"/>
      <c r="G35" s="6"/>
      <c r="H35" s="6"/>
    </row>
    <row r="36" spans="1:8">
      <c r="C36" s="7" t="s">
        <v>91</v>
      </c>
      <c r="D36" s="12">
        <v>0</v>
      </c>
      <c r="E36" s="16"/>
    </row>
    <row r="37" spans="1:8" s="15" customFormat="1">
      <c r="A37" s="6"/>
      <c r="B37" s="6"/>
      <c r="C37" s="7" t="s">
        <v>92</v>
      </c>
      <c r="D37" s="12"/>
      <c r="E37" s="16"/>
      <c r="F37" s="6"/>
      <c r="G37" s="6"/>
      <c r="H37" s="6"/>
    </row>
    <row r="38" spans="1:8" s="15" customFormat="1">
      <c r="A38" s="6"/>
      <c r="B38" s="6"/>
      <c r="C38" s="7" t="s">
        <v>93</v>
      </c>
      <c r="D38" s="19"/>
      <c r="E38" s="20"/>
      <c r="F38" s="6"/>
      <c r="G38" s="6"/>
      <c r="H38" s="6"/>
    </row>
    <row r="39" spans="1:8">
      <c r="C39" s="17" t="s">
        <v>94</v>
      </c>
      <c r="D39" s="21">
        <f>SUM(D36:D38)+D35+D32</f>
        <v>64144.800000000003</v>
      </c>
      <c r="E39" s="22">
        <f>SUM(E36:E38)+E35+E32</f>
        <v>3805200</v>
      </c>
    </row>
    <row r="41" spans="1:8" ht="16.5" thickBot="1">
      <c r="C41" s="17" t="s">
        <v>95</v>
      </c>
      <c r="D41" s="23">
        <f>D39-E39</f>
        <v>-3741055.2</v>
      </c>
      <c r="E41" s="24"/>
    </row>
    <row r="42" spans="1:8" ht="16.5" thickTop="1"/>
  </sheetData>
  <mergeCells count="4">
    <mergeCell ref="A9:A10"/>
    <mergeCell ref="B9:B10"/>
    <mergeCell ref="C9:C10"/>
    <mergeCell ref="D9:E9"/>
  </mergeCells>
  <phoneticPr fontId="35" type="noConversion"/>
  <hyperlinks>
    <hyperlink ref="A2:E2" location="Data!A1" display="PROJECT   NAME :  RRL PALACIO" xr:uid="{3614DA6E-02E1-4621-9A80-41145CC02F8C}"/>
  </hyperlinks>
  <pageMargins left="0.7" right="0.7" top="0.75" bottom="0.75" header="0.3" footer="0.3"/>
  <pageSetup paperSize="9"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7BD79-6801-4517-8D34-A47793D410DA}">
  <sheetPr codeName="Sheet38"/>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Data!B27</f>
        <v>KONDURU MURALI KRISHNAMARAJU</v>
      </c>
      <c r="B1" s="91"/>
      <c r="C1" s="91"/>
      <c r="D1" s="91"/>
      <c r="E1" s="92"/>
      <c r="F1" s="6" t="str">
        <f>Data!P27</f>
        <v>BOB</v>
      </c>
      <c r="G1" s="7"/>
      <c r="H1" s="8" t="str">
        <f>Data!AX27</f>
        <v>Builder</v>
      </c>
    </row>
    <row r="2" spans="1:8">
      <c r="A2" s="111" t="s">
        <v>105</v>
      </c>
      <c r="B2" s="111"/>
      <c r="C2" s="111"/>
      <c r="D2" s="111"/>
      <c r="E2" s="111"/>
      <c r="G2" s="9" t="s">
        <v>56</v>
      </c>
      <c r="H2" s="9" t="s">
        <v>57</v>
      </c>
    </row>
    <row r="3" spans="1:8">
      <c r="A3" s="116" t="s">
        <v>58</v>
      </c>
      <c r="B3" s="117" t="str">
        <f>Data!A27</f>
        <v>0801</v>
      </c>
      <c r="C3" s="118" t="s">
        <v>59</v>
      </c>
      <c r="D3" s="119" t="s">
        <v>106</v>
      </c>
      <c r="E3" s="129">
        <f>Data!F27-'0801'!E4</f>
        <v>7653250</v>
      </c>
      <c r="G3" s="10">
        <f>E7-H3</f>
        <v>2480913</v>
      </c>
      <c r="H3" s="10">
        <v>5555000</v>
      </c>
    </row>
    <row r="4" spans="1:8">
      <c r="A4" s="116" t="s">
        <v>60</v>
      </c>
      <c r="B4" s="120" t="str">
        <f>Data!C27</f>
        <v>Tower-1</v>
      </c>
      <c r="C4" s="121" t="s">
        <v>61</v>
      </c>
      <c r="D4" s="122" t="s">
        <v>106</v>
      </c>
      <c r="E4" s="130">
        <f>(Data!F27*5)/105</f>
        <v>382662.5</v>
      </c>
      <c r="F4" s="7" t="s">
        <v>62</v>
      </c>
      <c r="G4" s="10">
        <f>G3-E18</f>
        <v>2079117</v>
      </c>
      <c r="H4" s="10">
        <f>H3-D18</f>
        <v>5555000</v>
      </c>
    </row>
    <row r="5" spans="1:8">
      <c r="A5" s="116" t="s">
        <v>63</v>
      </c>
      <c r="B5" s="123">
        <f>Data!E27</f>
        <v>1265</v>
      </c>
      <c r="C5" s="124" t="s">
        <v>52</v>
      </c>
      <c r="D5" s="125" t="s">
        <v>106</v>
      </c>
      <c r="E5" s="129">
        <f>SUM(E3:E4)</f>
        <v>8035912.5</v>
      </c>
    </row>
    <row r="6" spans="1:8">
      <c r="A6" s="116" t="s">
        <v>34</v>
      </c>
      <c r="B6" s="123" t="str">
        <f>Data!D27</f>
        <v>2 BHK</v>
      </c>
      <c r="C6" s="80" t="s">
        <v>64</v>
      </c>
      <c r="D6" s="119" t="s">
        <v>106</v>
      </c>
      <c r="E6" s="130">
        <v>0</v>
      </c>
    </row>
    <row r="7" spans="1:8">
      <c r="A7" s="116" t="s">
        <v>65</v>
      </c>
      <c r="B7" s="126" t="str">
        <f>Data!V27</f>
        <v>RRL PAB032</v>
      </c>
      <c r="C7" s="127" t="s">
        <v>66</v>
      </c>
      <c r="D7" s="128" t="s">
        <v>106</v>
      </c>
      <c r="E7" s="131">
        <f>ROUND(SUM(E5:E6),0)</f>
        <v>8035913</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1607182.6</v>
      </c>
      <c r="C11" s="114" t="s">
        <v>672</v>
      </c>
      <c r="D11" s="115">
        <v>0</v>
      </c>
      <c r="E11" s="115">
        <v>401796</v>
      </c>
      <c r="F11" s="4" t="s">
        <v>826</v>
      </c>
    </row>
    <row r="12" spans="1:8">
      <c r="A12" s="112" t="s">
        <v>73</v>
      </c>
      <c r="B12" s="113">
        <f>$E$7*20%</f>
        <v>1607182.6</v>
      </c>
      <c r="C12" s="114"/>
      <c r="D12" s="115"/>
      <c r="E12" s="115"/>
    </row>
    <row r="13" spans="1:8">
      <c r="A13" s="112" t="s">
        <v>74</v>
      </c>
      <c r="B13" s="113">
        <f>$E$7*20%</f>
        <v>1607182.6</v>
      </c>
      <c r="C13" s="114"/>
      <c r="D13" s="115"/>
      <c r="E13" s="115"/>
      <c r="F13" s="11"/>
    </row>
    <row r="14" spans="1:8">
      <c r="A14" s="112" t="s">
        <v>75</v>
      </c>
      <c r="B14" s="113">
        <f>$E$7*15%</f>
        <v>1205386.95</v>
      </c>
      <c r="C14" s="114"/>
      <c r="D14" s="115"/>
      <c r="E14" s="115"/>
      <c r="F14" s="11"/>
    </row>
    <row r="15" spans="1:8">
      <c r="A15" s="112" t="s">
        <v>185</v>
      </c>
      <c r="B15" s="113">
        <f>$E$7*5%</f>
        <v>401795.65</v>
      </c>
      <c r="C15" s="114"/>
      <c r="D15" s="115"/>
      <c r="E15" s="115"/>
      <c r="F15" s="11"/>
    </row>
    <row r="16" spans="1:8">
      <c r="A16" s="112" t="s">
        <v>184</v>
      </c>
      <c r="B16" s="113">
        <f>$E$7*15%</f>
        <v>1205386.95</v>
      </c>
      <c r="C16" s="114"/>
      <c r="D16" s="115"/>
      <c r="E16" s="115"/>
      <c r="F16" s="11"/>
    </row>
    <row r="17" spans="1:8">
      <c r="A17" s="112" t="s">
        <v>76</v>
      </c>
      <c r="B17" s="113">
        <f>$E$7*5%</f>
        <v>401795.65</v>
      </c>
      <c r="C17" s="114"/>
      <c r="D17" s="115"/>
      <c r="E17" s="115"/>
      <c r="F17" s="11"/>
    </row>
    <row r="18" spans="1:8">
      <c r="A18" s="93"/>
      <c r="B18" s="94"/>
      <c r="C18" s="95" t="s">
        <v>77</v>
      </c>
      <c r="D18" s="96">
        <f>SUM(D11:D17)</f>
        <v>0</v>
      </c>
      <c r="E18" s="97">
        <f>SUM(E11:E17)</f>
        <v>401796</v>
      </c>
    </row>
    <row r="19" spans="1:8">
      <c r="A19" s="98"/>
      <c r="B19" s="99"/>
      <c r="C19" s="100"/>
      <c r="D19" s="101" t="s">
        <v>78</v>
      </c>
      <c r="E19" s="164">
        <f>D18+E18</f>
        <v>401796</v>
      </c>
    </row>
    <row r="20" spans="1:8" ht="16.5" thickBot="1">
      <c r="A20" s="102"/>
      <c r="B20" s="103"/>
      <c r="C20" s="100"/>
      <c r="D20" s="101" t="s">
        <v>79</v>
      </c>
      <c r="E20" s="165">
        <f>E7-E19</f>
        <v>7634117</v>
      </c>
    </row>
    <row r="21" spans="1:8" ht="16.5" thickTop="1">
      <c r="A21" s="98" t="str">
        <f>IF(B7="","","NOTE: "&amp;Data!R22)</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401796</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401796</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401796</v>
      </c>
    </row>
    <row r="39" spans="1:8" ht="16.5" thickBot="1">
      <c r="C39" s="17" t="s">
        <v>95</v>
      </c>
      <c r="D39" s="23">
        <f>D37-E37</f>
        <v>-348058.8</v>
      </c>
      <c r="E39" s="24"/>
    </row>
    <row r="40" spans="1:8" ht="16.5" thickTop="1"/>
  </sheetData>
  <mergeCells count="4">
    <mergeCell ref="A9:A10"/>
    <mergeCell ref="B9:B10"/>
    <mergeCell ref="C9:C10"/>
    <mergeCell ref="D9:E9"/>
  </mergeCells>
  <hyperlinks>
    <hyperlink ref="A2:E2" location="Data!A1" display="PROJECT   NAME :  RRL PALACIO" xr:uid="{FCE0B3B8-CC74-4169-B5C1-F8D6E80BB460}"/>
  </hyperlinks>
  <pageMargins left="0.7" right="0.7" top="0.75" bottom="0.75" header="0.3" footer="0.3"/>
  <pageSetup paperSize="9"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923B-AE11-42EC-8746-BD3C943B7BDD}">
  <sheetPr codeName="Sheet46"/>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Data!B28</f>
        <v>AMRITA MISHRA AND RAVI SHANKAR</v>
      </c>
      <c r="B1" s="91"/>
      <c r="C1" s="91"/>
      <c r="D1" s="91"/>
      <c r="E1" s="92"/>
      <c r="F1" s="6" t="str">
        <f>Data!P28</f>
        <v>BOB</v>
      </c>
      <c r="G1" s="7"/>
      <c r="H1" s="8" t="str">
        <f>Data!AX28</f>
        <v>Builder</v>
      </c>
    </row>
    <row r="2" spans="1:8">
      <c r="A2" s="111" t="s">
        <v>105</v>
      </c>
      <c r="B2" s="111"/>
      <c r="C2" s="111"/>
      <c r="D2" s="111"/>
      <c r="E2" s="111"/>
      <c r="G2" s="9" t="s">
        <v>56</v>
      </c>
      <c r="H2" s="9" t="s">
        <v>57</v>
      </c>
    </row>
    <row r="3" spans="1:8">
      <c r="A3" s="116" t="s">
        <v>58</v>
      </c>
      <c r="B3" s="117" t="str">
        <f>Data!A28</f>
        <v>0802</v>
      </c>
      <c r="C3" s="118" t="s">
        <v>59</v>
      </c>
      <c r="D3" s="119" t="s">
        <v>106</v>
      </c>
      <c r="E3" s="129">
        <f>Data!F28-'0802'!E4</f>
        <v>9508200</v>
      </c>
      <c r="G3" s="10">
        <f>E7-H3</f>
        <v>1483610</v>
      </c>
      <c r="H3" s="10">
        <v>8500000</v>
      </c>
    </row>
    <row r="4" spans="1:8">
      <c r="A4" s="116" t="s">
        <v>60</v>
      </c>
      <c r="B4" s="120" t="str">
        <f>Data!C28</f>
        <v>Tower-1</v>
      </c>
      <c r="C4" s="121" t="s">
        <v>61</v>
      </c>
      <c r="D4" s="122" t="s">
        <v>106</v>
      </c>
      <c r="E4" s="130">
        <f>(Data!F28*5)/105</f>
        <v>475410</v>
      </c>
      <c r="F4" s="7" t="s">
        <v>62</v>
      </c>
      <c r="G4" s="10">
        <f>G3-E18</f>
        <v>-2509834</v>
      </c>
      <c r="H4" s="10">
        <f>H3-D18</f>
        <v>8500000</v>
      </c>
    </row>
    <row r="5" spans="1:8">
      <c r="A5" s="116" t="s">
        <v>63</v>
      </c>
      <c r="B5" s="123">
        <f>Data!E28</f>
        <v>1495</v>
      </c>
      <c r="C5" s="124" t="s">
        <v>52</v>
      </c>
      <c r="D5" s="125" t="s">
        <v>106</v>
      </c>
      <c r="E5" s="129">
        <f>SUM(E3:E4)</f>
        <v>9983610</v>
      </c>
    </row>
    <row r="6" spans="1:8">
      <c r="A6" s="116" t="s">
        <v>34</v>
      </c>
      <c r="B6" s="123" t="str">
        <f>Data!D28</f>
        <v>3 BHK</v>
      </c>
      <c r="C6" s="80" t="s">
        <v>64</v>
      </c>
      <c r="D6" s="119" t="s">
        <v>106</v>
      </c>
      <c r="E6" s="130">
        <v>0</v>
      </c>
    </row>
    <row r="7" spans="1:8">
      <c r="A7" s="116" t="s">
        <v>65</v>
      </c>
      <c r="B7" s="126" t="str">
        <f>Data!V28</f>
        <v>RRL PAB022</v>
      </c>
      <c r="C7" s="127" t="s">
        <v>66</v>
      </c>
      <c r="D7" s="128" t="s">
        <v>106</v>
      </c>
      <c r="E7" s="131">
        <f>ROUND(SUM(E5:E6),0)</f>
        <v>9983610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1996722</v>
      </c>
      <c r="C11" s="114" t="s">
        <v>415</v>
      </c>
      <c r="D11" s="115">
        <v>0</v>
      </c>
      <c r="E11" s="115"/>
    </row>
    <row r="12" spans="1:8">
      <c r="A12" s="112" t="s">
        <v>73</v>
      </c>
      <c r="B12" s="113">
        <f>$E$7*20%</f>
        <v>1996722</v>
      </c>
      <c r="C12" s="114" t="s">
        <v>414</v>
      </c>
      <c r="D12" s="115">
        <v>0</v>
      </c>
      <c r="E12" s="115">
        <v>70000</v>
      </c>
      <c r="F12" s="4" t="s">
        <v>412</v>
      </c>
    </row>
    <row r="13" spans="1:8">
      <c r="A13" s="112" t="s">
        <v>74</v>
      </c>
      <c r="B13" s="113">
        <f>$E$7*20%</f>
        <v>1996722</v>
      </c>
      <c r="C13" s="114" t="s">
        <v>455</v>
      </c>
      <c r="D13" s="115">
        <v>0</v>
      </c>
      <c r="E13" s="115">
        <v>375000</v>
      </c>
      <c r="F13" s="4" t="s">
        <v>457</v>
      </c>
    </row>
    <row r="14" spans="1:8">
      <c r="A14" s="112" t="s">
        <v>75</v>
      </c>
      <c r="B14" s="113">
        <f>$E$7*15%</f>
        <v>1497541.5</v>
      </c>
      <c r="C14" s="114" t="s">
        <v>571</v>
      </c>
      <c r="D14" s="115">
        <v>0</v>
      </c>
      <c r="E14" s="115">
        <v>54181</v>
      </c>
      <c r="F14" s="4" t="s">
        <v>689</v>
      </c>
    </row>
    <row r="15" spans="1:8">
      <c r="A15" s="112" t="s">
        <v>185</v>
      </c>
      <c r="B15" s="113">
        <f>$E$7*5%</f>
        <v>499180.5</v>
      </c>
      <c r="C15" s="114" t="s">
        <v>750</v>
      </c>
      <c r="D15" s="115">
        <v>0</v>
      </c>
      <c r="E15" s="115">
        <v>3494263</v>
      </c>
      <c r="F15" s="4" t="s">
        <v>747</v>
      </c>
    </row>
    <row r="16" spans="1:8">
      <c r="A16" s="112" t="s">
        <v>184</v>
      </c>
      <c r="B16" s="113">
        <f>$E$7*15%</f>
        <v>1497541.5</v>
      </c>
      <c r="C16" s="114"/>
      <c r="D16" s="115">
        <v>0</v>
      </c>
      <c r="E16" s="115"/>
    </row>
    <row r="17" spans="1:8">
      <c r="A17" s="112" t="s">
        <v>76</v>
      </c>
      <c r="B17" s="113">
        <f>$E$7*5%</f>
        <v>499180.5</v>
      </c>
      <c r="C17" s="114"/>
      <c r="D17" s="115">
        <v>0</v>
      </c>
      <c r="E17" s="115"/>
      <c r="F17" s="11"/>
    </row>
    <row r="18" spans="1:8">
      <c r="A18" s="93"/>
      <c r="B18" s="94"/>
      <c r="C18" s="95" t="s">
        <v>77</v>
      </c>
      <c r="D18" s="96">
        <f>SUM(D11:D17)</f>
        <v>0</v>
      </c>
      <c r="E18" s="97">
        <f>SUM(E11:E17)</f>
        <v>3993444</v>
      </c>
    </row>
    <row r="19" spans="1:8">
      <c r="A19" s="98"/>
      <c r="B19" s="99"/>
      <c r="C19" s="100"/>
      <c r="D19" s="101" t="s">
        <v>78</v>
      </c>
      <c r="E19" s="164">
        <f>D18+E18</f>
        <v>3993444</v>
      </c>
    </row>
    <row r="20" spans="1:8" ht="16.5" thickBot="1">
      <c r="A20" s="102"/>
      <c r="B20" s="103"/>
      <c r="C20" s="100"/>
      <c r="D20" s="101" t="s">
        <v>79</v>
      </c>
      <c r="E20" s="165">
        <f>E7-E19</f>
        <v>5990166</v>
      </c>
    </row>
    <row r="21" spans="1:8" ht="16.5" thickTop="1">
      <c r="A21" s="98" t="str">
        <f>IF(B7="","","NOTE: "&amp;Data!R28)</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3993444</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3993444</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3993444</v>
      </c>
    </row>
    <row r="39" spans="1:8" ht="16.5" thickBot="1">
      <c r="C39" s="17" t="s">
        <v>95</v>
      </c>
      <c r="D39" s="23">
        <f>D37-E37</f>
        <v>-3929936.4</v>
      </c>
      <c r="E39" s="24"/>
    </row>
    <row r="40" spans="1:8" ht="16.5" thickTop="1"/>
  </sheetData>
  <mergeCells count="4">
    <mergeCell ref="A9:A10"/>
    <mergeCell ref="B9:B10"/>
    <mergeCell ref="C9:C10"/>
    <mergeCell ref="D9:E9"/>
  </mergeCells>
  <hyperlinks>
    <hyperlink ref="A2:E2" location="Data!A1" display="PROJECT   NAME :  RRL PALACIO" xr:uid="{BA804881-F117-4C15-A751-7E71BDEE1A87}"/>
  </hyperlinks>
  <pageMargins left="0.7" right="0.7" top="0.75" bottom="0.75" header="0.3" footer="0.3"/>
  <pageSetup paperSize="9"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5FB69-6841-4A34-98FF-83FB4CDEF2F6}">
  <sheetPr codeName="Sheet41"/>
  <dimension ref="A1:J41"/>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10">
      <c r="A1" s="166" t="str">
        <f>Data!B32</f>
        <v>OM PRAKASH TIWARI</v>
      </c>
      <c r="B1" s="91"/>
      <c r="C1" s="91"/>
      <c r="D1" s="91"/>
      <c r="E1" s="92"/>
      <c r="F1" s="6" t="str">
        <f>Data!P32</f>
        <v>HDFC</v>
      </c>
      <c r="G1" s="7"/>
      <c r="H1" s="8" t="str">
        <f>Data!AX32</f>
        <v>Builder</v>
      </c>
    </row>
    <row r="2" spans="1:10">
      <c r="A2" s="111" t="s">
        <v>105</v>
      </c>
      <c r="B2" s="111"/>
      <c r="C2" s="111"/>
      <c r="D2" s="111"/>
      <c r="E2" s="111"/>
      <c r="G2" s="9" t="s">
        <v>56</v>
      </c>
      <c r="H2" s="9" t="s">
        <v>57</v>
      </c>
    </row>
    <row r="3" spans="1:10">
      <c r="A3" s="116" t="s">
        <v>58</v>
      </c>
      <c r="B3" s="207">
        <f>Data!A32</f>
        <v>1101</v>
      </c>
      <c r="C3" s="118" t="s">
        <v>59</v>
      </c>
      <c r="D3" s="119" t="s">
        <v>106</v>
      </c>
      <c r="E3" s="129">
        <f>Data!F32-'1101'!E4</f>
        <v>8349000</v>
      </c>
      <c r="G3" s="10">
        <f>E7-H3</f>
        <v>1666450</v>
      </c>
      <c r="H3" s="10">
        <v>7100000</v>
      </c>
    </row>
    <row r="4" spans="1:10">
      <c r="A4" s="116" t="s">
        <v>60</v>
      </c>
      <c r="B4" s="120" t="str">
        <f>Data!C32</f>
        <v>Tower-1</v>
      </c>
      <c r="C4" s="121" t="s">
        <v>61</v>
      </c>
      <c r="D4" s="122" t="s">
        <v>106</v>
      </c>
      <c r="E4" s="130">
        <f>(Data!F32*5)/105</f>
        <v>417450</v>
      </c>
      <c r="F4" s="7" t="s">
        <v>62</v>
      </c>
      <c r="G4" s="10">
        <f>G3-E19</f>
        <v>831550</v>
      </c>
      <c r="H4" s="10">
        <f>H3-D19</f>
        <v>4595300</v>
      </c>
    </row>
    <row r="5" spans="1:10">
      <c r="A5" s="116" t="s">
        <v>63</v>
      </c>
      <c r="B5" s="123">
        <f>Data!E32</f>
        <v>1265</v>
      </c>
      <c r="C5" s="124" t="s">
        <v>52</v>
      </c>
      <c r="D5" s="125" t="s">
        <v>106</v>
      </c>
      <c r="E5" s="129">
        <f>SUM(E3:E4)</f>
        <v>8766450</v>
      </c>
    </row>
    <row r="6" spans="1:10">
      <c r="A6" s="116" t="s">
        <v>34</v>
      </c>
      <c r="B6" s="123" t="str">
        <f>Data!D32</f>
        <v>2 BHK</v>
      </c>
      <c r="C6" s="80" t="s">
        <v>64</v>
      </c>
      <c r="D6" s="119" t="s">
        <v>106</v>
      </c>
      <c r="E6" s="130">
        <v>0</v>
      </c>
    </row>
    <row r="7" spans="1:10">
      <c r="A7" s="116" t="s">
        <v>65</v>
      </c>
      <c r="B7" s="126" t="str">
        <f>Data!V32</f>
        <v>RRL PAB015</v>
      </c>
      <c r="C7" s="127" t="s">
        <v>66</v>
      </c>
      <c r="D7" s="128" t="s">
        <v>106</v>
      </c>
      <c r="E7" s="131">
        <f>ROUND(SUM(E5:E6),0)</f>
        <v>8766450</v>
      </c>
    </row>
    <row r="8" spans="1:10">
      <c r="A8" s="108"/>
      <c r="B8" s="109"/>
      <c r="C8" s="109"/>
      <c r="D8" s="109"/>
      <c r="E8" s="110"/>
    </row>
    <row r="9" spans="1:10">
      <c r="A9" s="318" t="s">
        <v>67</v>
      </c>
      <c r="B9" s="319"/>
      <c r="C9" s="318" t="s">
        <v>68</v>
      </c>
      <c r="D9" s="320" t="s">
        <v>69</v>
      </c>
      <c r="E9" s="320"/>
    </row>
    <row r="10" spans="1:10">
      <c r="A10" s="318"/>
      <c r="B10" s="319"/>
      <c r="C10" s="318"/>
      <c r="D10" s="90" t="s">
        <v>70</v>
      </c>
      <c r="E10" s="90" t="s">
        <v>71</v>
      </c>
    </row>
    <row r="11" spans="1:10">
      <c r="A11" s="112" t="s">
        <v>72</v>
      </c>
      <c r="B11" s="113">
        <f>$E$7*20%</f>
        <v>1753290</v>
      </c>
      <c r="C11" s="114" t="s">
        <v>309</v>
      </c>
      <c r="D11" s="115">
        <v>0</v>
      </c>
      <c r="E11" s="115"/>
      <c r="F11" s="4"/>
    </row>
    <row r="12" spans="1:10">
      <c r="A12" s="112" t="s">
        <v>73</v>
      </c>
      <c r="B12" s="113">
        <f>$E$7*20%</f>
        <v>1753290</v>
      </c>
      <c r="C12" s="114" t="s">
        <v>288</v>
      </c>
      <c r="D12" s="115">
        <v>0</v>
      </c>
      <c r="E12" s="115">
        <v>50000</v>
      </c>
      <c r="F12" s="4" t="s">
        <v>386</v>
      </c>
    </row>
    <row r="13" spans="1:10">
      <c r="A13" s="112" t="s">
        <v>74</v>
      </c>
      <c r="B13" s="113">
        <f>$E$7*20%</f>
        <v>1753290</v>
      </c>
      <c r="C13" s="114" t="s">
        <v>440</v>
      </c>
      <c r="D13" s="115">
        <v>0</v>
      </c>
      <c r="E13" s="115">
        <v>50000</v>
      </c>
      <c r="F13" s="4" t="s">
        <v>438</v>
      </c>
      <c r="J13" s="6" t="s">
        <v>106</v>
      </c>
    </row>
    <row r="14" spans="1:10">
      <c r="A14" s="112" t="s">
        <v>75</v>
      </c>
      <c r="B14" s="113">
        <f>$E$7*15%</f>
        <v>1314967.5</v>
      </c>
      <c r="C14" s="114" t="s">
        <v>552</v>
      </c>
      <c r="D14" s="115">
        <v>0</v>
      </c>
      <c r="E14" s="115">
        <v>90000</v>
      </c>
      <c r="F14" s="4" t="s">
        <v>581</v>
      </c>
    </row>
    <row r="15" spans="1:10">
      <c r="A15" s="112" t="s">
        <v>185</v>
      </c>
      <c r="B15" s="113">
        <f>$E$7*5%</f>
        <v>438322.5</v>
      </c>
      <c r="C15" s="114" t="s">
        <v>500</v>
      </c>
      <c r="D15" s="115">
        <v>0</v>
      </c>
      <c r="E15" s="115">
        <v>10000</v>
      </c>
      <c r="F15" s="4" t="s">
        <v>583</v>
      </c>
    </row>
    <row r="16" spans="1:10">
      <c r="A16" s="112" t="s">
        <v>184</v>
      </c>
      <c r="B16" s="113">
        <f>$E$7*15%</f>
        <v>1314967.5</v>
      </c>
      <c r="C16" s="114" t="s">
        <v>591</v>
      </c>
      <c r="D16" s="115"/>
      <c r="E16" s="115">
        <v>634900</v>
      </c>
      <c r="F16" s="4" t="s">
        <v>589</v>
      </c>
    </row>
    <row r="17" spans="1:8">
      <c r="A17" s="112" t="s">
        <v>76</v>
      </c>
      <c r="B17" s="113">
        <f>$E$7*5%</f>
        <v>438322.5</v>
      </c>
      <c r="C17" s="114" t="s">
        <v>979</v>
      </c>
      <c r="D17" s="115">
        <v>2504700</v>
      </c>
      <c r="E17" s="115"/>
      <c r="F17" s="4"/>
    </row>
    <row r="18" spans="1:8">
      <c r="A18" s="112"/>
      <c r="B18" s="113"/>
      <c r="C18" s="114"/>
      <c r="D18" s="115"/>
      <c r="E18" s="115"/>
      <c r="F18" s="11"/>
    </row>
    <row r="19" spans="1:8">
      <c r="A19" s="93"/>
      <c r="B19" s="94"/>
      <c r="C19" s="95" t="s">
        <v>77</v>
      </c>
      <c r="D19" s="96">
        <f>SUM(D11:D18)</f>
        <v>2504700</v>
      </c>
      <c r="E19" s="97">
        <f>SUM(E11:E18)</f>
        <v>834900</v>
      </c>
    </row>
    <row r="20" spans="1:8">
      <c r="A20" s="98"/>
      <c r="B20" s="99"/>
      <c r="C20" s="100"/>
      <c r="D20" s="101" t="s">
        <v>78</v>
      </c>
      <c r="E20" s="164">
        <f>D19+E19</f>
        <v>3339600</v>
      </c>
    </row>
    <row r="21" spans="1:8" ht="16.5" thickBot="1">
      <c r="A21" s="102"/>
      <c r="B21" s="103"/>
      <c r="C21" s="100"/>
      <c r="D21" s="101" t="s">
        <v>79</v>
      </c>
      <c r="E21" s="165">
        <f>E7-E20</f>
        <v>5426850</v>
      </c>
    </row>
    <row r="22" spans="1:8" ht="16.5" thickTop="1">
      <c r="A22" s="98" t="str">
        <f>IF(B7="","","NOTE: "&amp;Data!R32)</f>
        <v>NOTE: EXCLUDING GST, GOVERNMENT CHARGES, MAINTENANCE</v>
      </c>
      <c r="B22" s="99"/>
      <c r="C22" s="99"/>
      <c r="D22" s="99"/>
      <c r="E22" s="104"/>
    </row>
    <row r="23" spans="1:8">
      <c r="A23" s="105"/>
      <c r="B23" s="106"/>
      <c r="C23" s="106"/>
      <c r="D23" s="106"/>
      <c r="E23" s="107"/>
    </row>
    <row r="25" spans="1:8">
      <c r="D25" s="13" t="s">
        <v>80</v>
      </c>
      <c r="E25" s="14" t="s">
        <v>81</v>
      </c>
    </row>
    <row r="26" spans="1:8">
      <c r="C26" s="7" t="s">
        <v>82</v>
      </c>
      <c r="E26" s="16">
        <f>E20</f>
        <v>3339600</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3339600</v>
      </c>
      <c r="F31" s="6"/>
      <c r="G31" s="6"/>
      <c r="H31" s="6"/>
    </row>
    <row r="32" spans="1:8" s="15" customFormat="1">
      <c r="A32" s="6"/>
      <c r="B32" s="6"/>
      <c r="C32" s="7" t="s">
        <v>88</v>
      </c>
      <c r="D32" s="12">
        <f>B5*3*12</f>
        <v>45540</v>
      </c>
      <c r="E32" s="16" t="str">
        <f>IF(D32="","Maintenance will be paid to Association","")</f>
        <v/>
      </c>
      <c r="F32" s="6"/>
      <c r="G32" s="6"/>
      <c r="H32" s="6"/>
    </row>
    <row r="33" spans="1:8" s="15" customFormat="1">
      <c r="A33" s="6"/>
      <c r="B33" s="6"/>
      <c r="C33" s="7" t="s">
        <v>89</v>
      </c>
      <c r="D33" s="19">
        <f>IF(D32="","",D32*18%)</f>
        <v>8197.1999999999989</v>
      </c>
      <c r="E33" s="20"/>
      <c r="F33" s="6"/>
      <c r="G33" s="6"/>
      <c r="H33" s="6"/>
    </row>
    <row r="34" spans="1:8" s="15" customFormat="1">
      <c r="A34" s="6"/>
      <c r="B34" s="6"/>
      <c r="C34" s="17" t="s">
        <v>90</v>
      </c>
      <c r="D34" s="13">
        <f>SUM(D32:D33)</f>
        <v>53737.2</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53737.2</v>
      </c>
      <c r="E38" s="22">
        <f>SUM(E35:E37)+E34+E31</f>
        <v>3339600</v>
      </c>
    </row>
    <row r="40" spans="1:8" ht="16.5" thickBot="1">
      <c r="C40" s="17" t="s">
        <v>95</v>
      </c>
      <c r="D40" s="23">
        <f>D38-E38</f>
        <v>-3285862.8</v>
      </c>
      <c r="E40" s="24"/>
    </row>
    <row r="41" spans="1:8" ht="16.5" thickTop="1"/>
  </sheetData>
  <mergeCells count="4">
    <mergeCell ref="A9:A10"/>
    <mergeCell ref="B9:B10"/>
    <mergeCell ref="C9:C10"/>
    <mergeCell ref="D9:E9"/>
  </mergeCells>
  <hyperlinks>
    <hyperlink ref="A2:E2" location="Data!A1" display="PROJECT   NAME :  RRL PALACIO" xr:uid="{9157D8E1-93B7-4FD6-966E-ABE128981F6A}"/>
  </hyperlinks>
  <pageMargins left="0.7" right="0.7" top="0.75" bottom="0.75" header="0.3" footer="0.3"/>
  <pageSetup paperSize="9"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C9428-3954-497A-815F-B4ECDC42E1AC}">
  <sheetPr codeName="Sheet55"/>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Data!B33</f>
        <v>KULDEEP KHANDELWAL</v>
      </c>
      <c r="B1" s="91"/>
      <c r="C1" s="91"/>
      <c r="D1" s="91"/>
      <c r="E1" s="92"/>
      <c r="F1" s="6" t="str">
        <f>Data!P33</f>
        <v>HDFC</v>
      </c>
      <c r="G1" s="7"/>
      <c r="H1" s="8" t="str">
        <f>Data!AX33</f>
        <v>Builder</v>
      </c>
    </row>
    <row r="2" spans="1:8">
      <c r="A2" s="111" t="s">
        <v>105</v>
      </c>
      <c r="B2" s="111"/>
      <c r="C2" s="111"/>
      <c r="D2" s="111"/>
      <c r="E2" s="111"/>
      <c r="G2" s="9" t="s">
        <v>56</v>
      </c>
      <c r="H2" s="9" t="s">
        <v>57</v>
      </c>
    </row>
    <row r="3" spans="1:8">
      <c r="A3" s="116" t="s">
        <v>58</v>
      </c>
      <c r="B3" s="207">
        <f>Data!A33</f>
        <v>1102</v>
      </c>
      <c r="C3" s="118" t="s">
        <v>59</v>
      </c>
      <c r="D3" s="119" t="s">
        <v>106</v>
      </c>
      <c r="E3" s="129">
        <f>Data!F33-'1102'!E4</f>
        <v>9642750</v>
      </c>
      <c r="G3" s="10">
        <f>E7-H3</f>
        <v>10124888</v>
      </c>
      <c r="H3" s="10"/>
    </row>
    <row r="4" spans="1:8">
      <c r="A4" s="116" t="s">
        <v>60</v>
      </c>
      <c r="B4" s="120" t="str">
        <f>Data!C33</f>
        <v>Tower-1</v>
      </c>
      <c r="C4" s="121" t="s">
        <v>61</v>
      </c>
      <c r="D4" s="122" t="s">
        <v>106</v>
      </c>
      <c r="E4" s="130">
        <f>(Data!F33*5)/105</f>
        <v>482137.5</v>
      </c>
      <c r="F4" s="7" t="s">
        <v>62</v>
      </c>
      <c r="G4" s="10">
        <f>G3-E18</f>
        <v>9112300</v>
      </c>
      <c r="H4" s="10">
        <f>H3-D18</f>
        <v>0</v>
      </c>
    </row>
    <row r="5" spans="1:8">
      <c r="A5" s="116" t="s">
        <v>63</v>
      </c>
      <c r="B5" s="123">
        <f>Data!E33</f>
        <v>1495</v>
      </c>
      <c r="C5" s="124" t="s">
        <v>52</v>
      </c>
      <c r="D5" s="125" t="s">
        <v>106</v>
      </c>
      <c r="E5" s="129">
        <f>SUM(E3:E4)</f>
        <v>10124887.5</v>
      </c>
    </row>
    <row r="6" spans="1:8">
      <c r="A6" s="116" t="s">
        <v>34</v>
      </c>
      <c r="B6" s="123" t="str">
        <f>Data!D33</f>
        <v>3 BHK</v>
      </c>
      <c r="C6" s="80" t="s">
        <v>64</v>
      </c>
      <c r="D6" s="119" t="s">
        <v>106</v>
      </c>
      <c r="E6" s="130">
        <v>0</v>
      </c>
    </row>
    <row r="7" spans="1:8">
      <c r="A7" s="116" t="s">
        <v>65</v>
      </c>
      <c r="B7" s="126">
        <f>Data!V33</f>
        <v>0</v>
      </c>
      <c r="C7" s="127" t="s">
        <v>66</v>
      </c>
      <c r="D7" s="128" t="s">
        <v>106</v>
      </c>
      <c r="E7" s="131">
        <f>ROUND(SUM(E5:E6),0)</f>
        <v>10124888</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2024977.6</v>
      </c>
      <c r="C11" s="114" t="s">
        <v>882</v>
      </c>
      <c r="D11" s="115">
        <v>0</v>
      </c>
      <c r="E11" s="115">
        <v>50000</v>
      </c>
      <c r="F11" s="4" t="s">
        <v>877</v>
      </c>
    </row>
    <row r="12" spans="1:8">
      <c r="A12" s="112" t="s">
        <v>73</v>
      </c>
      <c r="B12" s="113">
        <f>$E$7*20%</f>
        <v>2024977.6</v>
      </c>
      <c r="C12" s="114" t="s">
        <v>883</v>
      </c>
      <c r="D12" s="115">
        <v>0</v>
      </c>
      <c r="E12" s="115">
        <v>50000</v>
      </c>
      <c r="F12" s="4" t="s">
        <v>878</v>
      </c>
    </row>
    <row r="13" spans="1:8">
      <c r="A13" s="112" t="s">
        <v>74</v>
      </c>
      <c r="B13" s="113">
        <f>$E$7*20%</f>
        <v>2024977.6</v>
      </c>
      <c r="C13" s="114" t="s">
        <v>1051</v>
      </c>
      <c r="D13" s="115">
        <v>0</v>
      </c>
      <c r="E13" s="115">
        <v>100</v>
      </c>
      <c r="F13" s="4"/>
    </row>
    <row r="14" spans="1:8">
      <c r="A14" s="112" t="s">
        <v>75</v>
      </c>
      <c r="B14" s="113">
        <f>$E$7*15%</f>
        <v>1518733.2</v>
      </c>
      <c r="C14" s="114" t="s">
        <v>1052</v>
      </c>
      <c r="D14" s="115">
        <v>0</v>
      </c>
      <c r="E14" s="115">
        <v>912488</v>
      </c>
      <c r="F14" s="4"/>
    </row>
    <row r="15" spans="1:8">
      <c r="A15" s="112" t="s">
        <v>185</v>
      </c>
      <c r="B15" s="113">
        <f>$E$7*5%</f>
        <v>506244.4</v>
      </c>
      <c r="C15" s="114"/>
      <c r="D15" s="115">
        <v>0</v>
      </c>
      <c r="E15" s="115"/>
      <c r="F15" s="4"/>
    </row>
    <row r="16" spans="1:8">
      <c r="A16" s="112" t="s">
        <v>184</v>
      </c>
      <c r="B16" s="113">
        <f>$E$7*15%</f>
        <v>1518733.2</v>
      </c>
      <c r="C16" s="114"/>
      <c r="D16" s="115">
        <v>0</v>
      </c>
      <c r="E16" s="115"/>
      <c r="F16" s="4"/>
    </row>
    <row r="17" spans="1:8">
      <c r="A17" s="112" t="s">
        <v>76</v>
      </c>
      <c r="B17" s="113">
        <f>$E$7*5%</f>
        <v>506244.4</v>
      </c>
      <c r="C17" s="114"/>
      <c r="D17" s="115">
        <v>0</v>
      </c>
      <c r="E17" s="115"/>
      <c r="F17" s="11"/>
    </row>
    <row r="18" spans="1:8">
      <c r="A18" s="93"/>
      <c r="B18" s="94"/>
      <c r="C18" s="95" t="s">
        <v>77</v>
      </c>
      <c r="D18" s="96">
        <f>SUM(D11:D17)</f>
        <v>0</v>
      </c>
      <c r="E18" s="97">
        <f>SUM(E11:E17)</f>
        <v>1012588</v>
      </c>
    </row>
    <row r="19" spans="1:8">
      <c r="A19" s="98"/>
      <c r="B19" s="99"/>
      <c r="C19" s="100"/>
      <c r="D19" s="101" t="s">
        <v>78</v>
      </c>
      <c r="E19" s="164">
        <f>D18+E18</f>
        <v>1012588</v>
      </c>
    </row>
    <row r="20" spans="1:8" ht="16.5" thickBot="1">
      <c r="A20" s="102"/>
      <c r="B20" s="103"/>
      <c r="C20" s="100"/>
      <c r="D20" s="101" t="s">
        <v>79</v>
      </c>
      <c r="E20" s="165">
        <f>E7-E19</f>
        <v>9112300</v>
      </c>
    </row>
    <row r="21" spans="1:8" ht="16.5" thickTop="1">
      <c r="A21" s="98" t="str">
        <f>IF(B7="","","NOTE: "&amp;Data!R33)</f>
        <v xml:space="preserve">NOTE: </v>
      </c>
      <c r="B21" s="99"/>
      <c r="C21" s="99"/>
      <c r="D21" s="99"/>
      <c r="E21" s="104"/>
    </row>
    <row r="22" spans="1:8">
      <c r="A22" s="105"/>
      <c r="B22" s="106"/>
      <c r="C22" s="106"/>
      <c r="D22" s="106"/>
      <c r="E22" s="107"/>
    </row>
    <row r="24" spans="1:8">
      <c r="D24" s="13" t="s">
        <v>80</v>
      </c>
      <c r="E24" s="14" t="s">
        <v>81</v>
      </c>
    </row>
    <row r="25" spans="1:8">
      <c r="C25" s="7" t="s">
        <v>82</v>
      </c>
      <c r="E25" s="16">
        <f>E19</f>
        <v>1012588</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1012588</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1012588</v>
      </c>
    </row>
    <row r="39" spans="1:8" ht="16.5" thickBot="1">
      <c r="C39" s="17" t="s">
        <v>95</v>
      </c>
      <c r="D39" s="23">
        <f>D37-E37</f>
        <v>-949080.4</v>
      </c>
      <c r="E39" s="24"/>
    </row>
    <row r="40" spans="1:8" ht="16.5" thickTop="1"/>
  </sheetData>
  <mergeCells count="4">
    <mergeCell ref="A9:A10"/>
    <mergeCell ref="B9:B10"/>
    <mergeCell ref="C9:C10"/>
    <mergeCell ref="D9:E9"/>
  </mergeCells>
  <hyperlinks>
    <hyperlink ref="A2:E2" location="Data!A1" display="PROJECT   NAME :  RRL PALACIO" xr:uid="{83CD3D0B-85E7-428B-B734-789CD92C19FE}"/>
  </hyperlinks>
  <pageMargins left="0.7" right="0.7" top="0.75" bottom="0.75" header="0.3" footer="0.3"/>
  <pageSetup paperSize="9"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95427-EECA-42F7-8FC8-865E9220AB85}">
  <sheetPr codeName="Sheet45"/>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Data!B37</f>
        <v>BOLLA SIREESHA AND BOLLA BUCHA RAO</v>
      </c>
      <c r="B1" s="91"/>
      <c r="C1" s="91"/>
      <c r="D1" s="91"/>
      <c r="E1" s="92"/>
      <c r="F1" s="6" t="str">
        <f>Data!P37</f>
        <v>BOB</v>
      </c>
      <c r="G1" s="7"/>
      <c r="H1" s="8" t="str">
        <f>Data!AX37</f>
        <v>Builder</v>
      </c>
    </row>
    <row r="2" spans="1:8">
      <c r="A2" s="111" t="s">
        <v>105</v>
      </c>
      <c r="B2" s="111"/>
      <c r="C2" s="111"/>
      <c r="D2" s="111"/>
      <c r="E2" s="111"/>
      <c r="G2" s="9" t="s">
        <v>56</v>
      </c>
      <c r="H2" s="9" t="s">
        <v>57</v>
      </c>
    </row>
    <row r="3" spans="1:8">
      <c r="A3" s="116" t="s">
        <v>58</v>
      </c>
      <c r="B3" s="207">
        <f>Data!A37</f>
        <v>1201</v>
      </c>
      <c r="C3" s="118" t="s">
        <v>59</v>
      </c>
      <c r="D3" s="119" t="s">
        <v>106</v>
      </c>
      <c r="E3" s="129">
        <f>Data!F37-'1201'!E4</f>
        <v>7653250</v>
      </c>
      <c r="G3" s="10">
        <f>E7-H3</f>
        <v>8035913</v>
      </c>
      <c r="H3" s="10"/>
    </row>
    <row r="4" spans="1:8">
      <c r="A4" s="116" t="s">
        <v>60</v>
      </c>
      <c r="B4" s="120" t="str">
        <f>Data!C37</f>
        <v>Tower-1</v>
      </c>
      <c r="C4" s="121" t="s">
        <v>61</v>
      </c>
      <c r="D4" s="122" t="s">
        <v>106</v>
      </c>
      <c r="E4" s="130">
        <f>(Data!F37*5)/105</f>
        <v>382662.5</v>
      </c>
      <c r="F4" s="7" t="s">
        <v>62</v>
      </c>
      <c r="G4" s="10">
        <f>G3-E18</f>
        <v>7634117</v>
      </c>
      <c r="H4" s="10">
        <f>H3-D18</f>
        <v>0</v>
      </c>
    </row>
    <row r="5" spans="1:8">
      <c r="A5" s="116" t="s">
        <v>63</v>
      </c>
      <c r="B5" s="123">
        <f>Data!E37</f>
        <v>1265</v>
      </c>
      <c r="C5" s="124" t="s">
        <v>52</v>
      </c>
      <c r="D5" s="125" t="s">
        <v>106</v>
      </c>
      <c r="E5" s="129">
        <f>SUM(E3:E4)</f>
        <v>8035912.5</v>
      </c>
    </row>
    <row r="6" spans="1:8">
      <c r="A6" s="116" t="s">
        <v>34</v>
      </c>
      <c r="B6" s="123" t="str">
        <f>Data!D37</f>
        <v>2 BHK</v>
      </c>
      <c r="C6" s="80" t="s">
        <v>64</v>
      </c>
      <c r="D6" s="119" t="s">
        <v>106</v>
      </c>
      <c r="E6" s="130">
        <v>0</v>
      </c>
    </row>
    <row r="7" spans="1:8">
      <c r="A7" s="116" t="s">
        <v>65</v>
      </c>
      <c r="B7" s="126" t="str">
        <f>Data!V37</f>
        <v>RRL PAB006</v>
      </c>
      <c r="C7" s="127" t="s">
        <v>66</v>
      </c>
      <c r="D7" s="128" t="s">
        <v>106</v>
      </c>
      <c r="E7" s="131">
        <f>ROUND(SUM(E5:E6),0)</f>
        <v>8035913</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1607182.6</v>
      </c>
      <c r="C11" s="114" t="s">
        <v>226</v>
      </c>
      <c r="D11" s="214">
        <v>0</v>
      </c>
      <c r="E11" s="214">
        <v>200000</v>
      </c>
      <c r="F11" s="4" t="s">
        <v>370</v>
      </c>
    </row>
    <row r="12" spans="1:8">
      <c r="A12" s="112" t="s">
        <v>73</v>
      </c>
      <c r="B12" s="113">
        <f>$E$7*20%</f>
        <v>1607182.6</v>
      </c>
      <c r="C12" s="114" t="s">
        <v>674</v>
      </c>
      <c r="D12" s="115">
        <v>0</v>
      </c>
      <c r="E12" s="115">
        <v>201796</v>
      </c>
    </row>
    <row r="13" spans="1:8">
      <c r="A13" s="112" t="s">
        <v>74</v>
      </c>
      <c r="B13" s="113">
        <f>$E$7*20%</f>
        <v>1607182.6</v>
      </c>
      <c r="C13" s="114"/>
      <c r="D13" s="115">
        <v>0</v>
      </c>
      <c r="E13" s="115"/>
      <c r="F13" s="11"/>
    </row>
    <row r="14" spans="1:8">
      <c r="A14" s="112" t="s">
        <v>75</v>
      </c>
      <c r="B14" s="113">
        <f>$E$7*15%</f>
        <v>1205386.95</v>
      </c>
      <c r="C14" s="114"/>
      <c r="D14" s="115">
        <v>0</v>
      </c>
      <c r="E14" s="115"/>
      <c r="F14" s="11"/>
    </row>
    <row r="15" spans="1:8">
      <c r="A15" s="112" t="s">
        <v>185</v>
      </c>
      <c r="B15" s="113">
        <f>$E$7*5%</f>
        <v>401795.65</v>
      </c>
      <c r="C15" s="114"/>
      <c r="D15" s="115">
        <v>0</v>
      </c>
      <c r="E15" s="115"/>
      <c r="F15" s="11"/>
    </row>
    <row r="16" spans="1:8">
      <c r="A16" s="112" t="s">
        <v>184</v>
      </c>
      <c r="B16" s="113">
        <f>$E$7*15%</f>
        <v>1205386.95</v>
      </c>
      <c r="C16" s="114"/>
      <c r="D16" s="115">
        <v>0</v>
      </c>
      <c r="E16" s="115"/>
      <c r="F16" s="11"/>
    </row>
    <row r="17" spans="1:8">
      <c r="A17" s="112" t="s">
        <v>76</v>
      </c>
      <c r="B17" s="113">
        <f>$E$7*5%</f>
        <v>401795.65</v>
      </c>
      <c r="C17" s="114"/>
      <c r="D17" s="115">
        <v>0</v>
      </c>
      <c r="E17" s="115"/>
      <c r="F17" s="11"/>
    </row>
    <row r="18" spans="1:8">
      <c r="A18" s="93"/>
      <c r="B18" s="94"/>
      <c r="C18" s="95" t="s">
        <v>77</v>
      </c>
      <c r="D18" s="96">
        <f>SUM(D11:D17)</f>
        <v>0</v>
      </c>
      <c r="E18" s="97">
        <f>SUM(E11:E17)</f>
        <v>401796</v>
      </c>
    </row>
    <row r="19" spans="1:8">
      <c r="A19" s="98"/>
      <c r="B19" s="99"/>
      <c r="C19" s="100"/>
      <c r="D19" s="101" t="s">
        <v>78</v>
      </c>
      <c r="E19" s="164">
        <f>D18+E18</f>
        <v>401796</v>
      </c>
    </row>
    <row r="20" spans="1:8" ht="16.5" thickBot="1">
      <c r="A20" s="102"/>
      <c r="B20" s="103"/>
      <c r="C20" s="100"/>
      <c r="D20" s="101" t="s">
        <v>79</v>
      </c>
      <c r="E20" s="165">
        <f>E7-E19</f>
        <v>7634117</v>
      </c>
    </row>
    <row r="21" spans="1:8" ht="16.5" thickTop="1">
      <c r="A21" s="98" t="str">
        <f>IF(B7="","","NOTE: "&amp;Data!R37)</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401796</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401796</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401796</v>
      </c>
    </row>
    <row r="39" spans="1:8" ht="16.5" thickBot="1">
      <c r="C39" s="17" t="s">
        <v>95</v>
      </c>
      <c r="D39" s="23">
        <f>D37-E37</f>
        <v>-348058.8</v>
      </c>
      <c r="E39" s="24"/>
    </row>
    <row r="40" spans="1:8" ht="16.5" thickTop="1"/>
  </sheetData>
  <mergeCells count="4">
    <mergeCell ref="A9:A10"/>
    <mergeCell ref="B9:B10"/>
    <mergeCell ref="C9:C10"/>
    <mergeCell ref="D9:E9"/>
  </mergeCells>
  <hyperlinks>
    <hyperlink ref="A2:E2" location="Data!A1" display="PROJECT   NAME :  RRL PALACIO" xr:uid="{FBA78129-0284-4387-A635-9BB36B31D5F3}"/>
  </hyperlinks>
  <pageMargins left="0.7" right="0.7" top="0.75" bottom="0.75" header="0.3" footer="0.3"/>
  <pageSetup paperSize="9"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A82E-2DE6-4C1D-9A93-96A255315005}">
  <sheetPr codeName="Sheet43"/>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Data!B39</f>
        <v>ATTLURI RAVITEJA</v>
      </c>
      <c r="B1" s="91"/>
      <c r="C1" s="91"/>
      <c r="D1" s="91"/>
      <c r="E1" s="92"/>
      <c r="F1" s="6" t="str">
        <f>Data!P39</f>
        <v>BOB</v>
      </c>
      <c r="G1" s="7"/>
      <c r="H1" s="8" t="str">
        <f>Data!AX39</f>
        <v>Builder</v>
      </c>
    </row>
    <row r="2" spans="1:8">
      <c r="A2" s="111" t="s">
        <v>105</v>
      </c>
      <c r="B2" s="111"/>
      <c r="C2" s="111"/>
      <c r="D2" s="111"/>
      <c r="E2" s="111"/>
      <c r="G2" s="9" t="s">
        <v>56</v>
      </c>
      <c r="H2" s="9" t="s">
        <v>57</v>
      </c>
    </row>
    <row r="3" spans="1:8">
      <c r="A3" s="116" t="s">
        <v>58</v>
      </c>
      <c r="B3" s="207">
        <f>Data!A39</f>
        <v>1203</v>
      </c>
      <c r="C3" s="118" t="s">
        <v>59</v>
      </c>
      <c r="D3" s="119" t="s">
        <v>106</v>
      </c>
      <c r="E3" s="129">
        <f>Data!F39-'1203'!E4</f>
        <v>9861500</v>
      </c>
      <c r="G3" s="10">
        <f>E7-H3</f>
        <v>1054575</v>
      </c>
      <c r="H3" s="10">
        <v>9300000</v>
      </c>
    </row>
    <row r="4" spans="1:8">
      <c r="A4" s="116" t="s">
        <v>60</v>
      </c>
      <c r="B4" s="120" t="str">
        <f>Data!C39</f>
        <v>Tower-1</v>
      </c>
      <c r="C4" s="121" t="s">
        <v>61</v>
      </c>
      <c r="D4" s="122" t="s">
        <v>106</v>
      </c>
      <c r="E4" s="130">
        <f>(Data!F39*5)/105</f>
        <v>493075</v>
      </c>
      <c r="F4" s="7" t="s">
        <v>62</v>
      </c>
      <c r="G4" s="10">
        <f>G3-E18</f>
        <v>536846</v>
      </c>
      <c r="H4" s="10">
        <f>H3-D18</f>
        <v>5675899</v>
      </c>
    </row>
    <row r="5" spans="1:8">
      <c r="A5" s="116" t="s">
        <v>63</v>
      </c>
      <c r="B5" s="123">
        <f>Data!E39</f>
        <v>1630</v>
      </c>
      <c r="C5" s="124" t="s">
        <v>52</v>
      </c>
      <c r="D5" s="125" t="s">
        <v>106</v>
      </c>
      <c r="E5" s="129">
        <f>SUM(E3:E4)</f>
        <v>10354575</v>
      </c>
    </row>
    <row r="6" spans="1:8">
      <c r="A6" s="116" t="s">
        <v>34</v>
      </c>
      <c r="B6" s="123" t="str">
        <f>Data!D39</f>
        <v>3 BHK</v>
      </c>
      <c r="C6" s="80" t="s">
        <v>64</v>
      </c>
      <c r="D6" s="119" t="s">
        <v>106</v>
      </c>
      <c r="E6" s="130">
        <v>0</v>
      </c>
    </row>
    <row r="7" spans="1:8">
      <c r="A7" s="116" t="s">
        <v>65</v>
      </c>
      <c r="B7" s="126" t="str">
        <f>Data!V39</f>
        <v>RRL PAB018</v>
      </c>
      <c r="C7" s="127" t="s">
        <v>66</v>
      </c>
      <c r="D7" s="128" t="s">
        <v>106</v>
      </c>
      <c r="E7" s="131">
        <f>ROUND(SUM(E5:E6),0)</f>
        <v>10354575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2070915</v>
      </c>
      <c r="C11" s="114" t="s">
        <v>291</v>
      </c>
      <c r="D11" s="115">
        <v>0</v>
      </c>
      <c r="E11" s="115">
        <v>100000</v>
      </c>
      <c r="F11" s="4" t="s">
        <v>394</v>
      </c>
    </row>
    <row r="12" spans="1:8">
      <c r="A12" s="112" t="s">
        <v>73</v>
      </c>
      <c r="B12" s="113">
        <f>$E$7*20%</f>
        <v>2070915</v>
      </c>
      <c r="C12" s="114" t="s">
        <v>325</v>
      </c>
      <c r="D12" s="115">
        <v>0</v>
      </c>
      <c r="E12" s="115">
        <v>100000</v>
      </c>
      <c r="F12" s="4" t="s">
        <v>397</v>
      </c>
    </row>
    <row r="13" spans="1:8">
      <c r="A13" s="112" t="s">
        <v>74</v>
      </c>
      <c r="B13" s="113">
        <f>$E$7*20%</f>
        <v>2070915</v>
      </c>
      <c r="C13" s="114" t="s">
        <v>697</v>
      </c>
      <c r="D13" s="115">
        <v>0</v>
      </c>
      <c r="E13" s="115">
        <v>-200000</v>
      </c>
      <c r="F13" s="11"/>
    </row>
    <row r="14" spans="1:8">
      <c r="A14" s="112" t="s">
        <v>75</v>
      </c>
      <c r="B14" s="113">
        <f>$E$7*15%</f>
        <v>1553186.25</v>
      </c>
      <c r="C14" s="114" t="s">
        <v>701</v>
      </c>
      <c r="D14" s="115">
        <v>0</v>
      </c>
      <c r="E14" s="115">
        <v>200000</v>
      </c>
      <c r="F14" s="4" t="s">
        <v>695</v>
      </c>
    </row>
    <row r="15" spans="1:8">
      <c r="A15" s="112" t="s">
        <v>185</v>
      </c>
      <c r="B15" s="113">
        <f>$E$7*5%</f>
        <v>517728.75</v>
      </c>
      <c r="C15" s="114" t="s">
        <v>737</v>
      </c>
      <c r="D15" s="115">
        <v>0</v>
      </c>
      <c r="E15" s="115">
        <v>317729</v>
      </c>
      <c r="F15" s="4" t="s">
        <v>736</v>
      </c>
    </row>
    <row r="16" spans="1:8">
      <c r="A16" s="112" t="s">
        <v>184</v>
      </c>
      <c r="B16" s="113">
        <f>$E$7*15%</f>
        <v>1553186.25</v>
      </c>
      <c r="C16" s="114" t="s">
        <v>861</v>
      </c>
      <c r="D16" s="115">
        <v>3624101</v>
      </c>
      <c r="E16" s="115"/>
      <c r="F16" s="4" t="s">
        <v>860</v>
      </c>
    </row>
    <row r="17" spans="1:8">
      <c r="A17" s="112" t="s">
        <v>76</v>
      </c>
      <c r="B17" s="113">
        <f>$E$7*5%</f>
        <v>517728.75</v>
      </c>
      <c r="C17" s="114"/>
      <c r="D17" s="115">
        <v>0</v>
      </c>
      <c r="E17" s="115"/>
      <c r="F17" s="11"/>
    </row>
    <row r="18" spans="1:8">
      <c r="A18" s="93"/>
      <c r="B18" s="94"/>
      <c r="C18" s="95" t="s">
        <v>77</v>
      </c>
      <c r="D18" s="96">
        <f>SUM(D11:D17)</f>
        <v>3624101</v>
      </c>
      <c r="E18" s="97">
        <f>SUM(E11:E17)</f>
        <v>517729</v>
      </c>
    </row>
    <row r="19" spans="1:8">
      <c r="A19" s="98"/>
      <c r="B19" s="99"/>
      <c r="C19" s="100"/>
      <c r="D19" s="101" t="s">
        <v>78</v>
      </c>
      <c r="E19" s="164">
        <f>D18+E18</f>
        <v>4141830</v>
      </c>
    </row>
    <row r="20" spans="1:8" ht="16.5" thickBot="1">
      <c r="A20" s="102"/>
      <c r="B20" s="103"/>
      <c r="C20" s="100"/>
      <c r="D20" s="101" t="s">
        <v>79</v>
      </c>
      <c r="E20" s="165">
        <f>E7-E19</f>
        <v>6212745</v>
      </c>
    </row>
    <row r="21" spans="1:8" ht="16.5" thickTop="1">
      <c r="A21" s="98" t="str">
        <f>IF(B7="","","NOTE: "&amp;Data!R39)</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4141830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4141830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4141830</v>
      </c>
    </row>
    <row r="39" spans="1:8" ht="16.5" thickBot="1">
      <c r="C39" s="17" t="s">
        <v>95</v>
      </c>
      <c r="D39" s="23">
        <f>D37-E37</f>
        <v>-4072587.6</v>
      </c>
      <c r="E39" s="24"/>
    </row>
    <row r="40" spans="1:8" ht="16.5" thickTop="1"/>
  </sheetData>
  <mergeCells count="4">
    <mergeCell ref="A9:A10"/>
    <mergeCell ref="B9:B10"/>
    <mergeCell ref="C9:C10"/>
    <mergeCell ref="D9:E9"/>
  </mergeCells>
  <hyperlinks>
    <hyperlink ref="A2:E2" location="Data!A1" display="PROJECT   NAME :  RRL PALACIO" xr:uid="{D86D9BFF-6A3E-40E9-84B7-6000BB68B2FB}"/>
  </hyperlinks>
  <pageMargins left="0.7" right="0.7" top="0.75" bottom="0.75" header="0.3" footer="0.3"/>
  <pageSetup paperSize="9"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CA4E1-C40B-44E6-9376-94055D055F34}">
  <sheetPr codeName="Sheet53"/>
  <dimension ref="A1:H40"/>
  <sheetViews>
    <sheetView zoomScale="85" zoomScaleNormal="85" workbookViewId="0">
      <selection activeCell="B2" sqref="B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Data!B42</f>
        <v>DRISYARAJ A K AND ABHILASH V K</v>
      </c>
      <c r="B1" s="91"/>
      <c r="C1" s="91"/>
      <c r="D1" s="91"/>
      <c r="E1" s="92"/>
      <c r="F1" s="6">
        <f>Data!P42</f>
        <v>0</v>
      </c>
      <c r="G1" s="7"/>
      <c r="H1" s="8" t="str">
        <f>Data!AX42</f>
        <v>Builder</v>
      </c>
    </row>
    <row r="2" spans="1:8">
      <c r="A2" s="111" t="s">
        <v>105</v>
      </c>
      <c r="B2" s="111"/>
      <c r="C2" s="111"/>
      <c r="D2" s="111"/>
      <c r="E2" s="111"/>
      <c r="G2" s="9" t="s">
        <v>56</v>
      </c>
      <c r="H2" s="9" t="s">
        <v>57</v>
      </c>
    </row>
    <row r="3" spans="1:8">
      <c r="A3" s="116" t="s">
        <v>58</v>
      </c>
      <c r="B3" s="207">
        <f>Data!A42</f>
        <v>1301</v>
      </c>
      <c r="C3" s="118" t="s">
        <v>59</v>
      </c>
      <c r="D3" s="119" t="s">
        <v>106</v>
      </c>
      <c r="E3" s="129">
        <f>Data!F42-'1301'!E4</f>
        <v>8285750</v>
      </c>
      <c r="G3" s="10">
        <f>E7-H3</f>
        <v>8700038</v>
      </c>
      <c r="H3" s="10"/>
    </row>
    <row r="4" spans="1:8">
      <c r="A4" s="116" t="s">
        <v>60</v>
      </c>
      <c r="B4" s="120" t="str">
        <f>Data!C42</f>
        <v>Tower-1</v>
      </c>
      <c r="C4" s="121" t="s">
        <v>61</v>
      </c>
      <c r="D4" s="122" t="s">
        <v>106</v>
      </c>
      <c r="E4" s="130">
        <f>(Data!F42*5)/105</f>
        <v>414287.5</v>
      </c>
      <c r="F4" s="7" t="s">
        <v>62</v>
      </c>
      <c r="G4" s="10">
        <f>G3-E18</f>
        <v>8600038</v>
      </c>
      <c r="H4" s="10">
        <f>H3-D18</f>
        <v>0</v>
      </c>
    </row>
    <row r="5" spans="1:8">
      <c r="A5" s="116" t="s">
        <v>63</v>
      </c>
      <c r="B5" s="123">
        <f>Data!E42</f>
        <v>1265</v>
      </c>
      <c r="C5" s="124" t="s">
        <v>52</v>
      </c>
      <c r="D5" s="125" t="s">
        <v>106</v>
      </c>
      <c r="E5" s="129">
        <f>SUM(E3:E4)</f>
        <v>8700037.5</v>
      </c>
    </row>
    <row r="6" spans="1:8">
      <c r="A6" s="116" t="s">
        <v>34</v>
      </c>
      <c r="B6" s="123" t="str">
        <f>Data!D42</f>
        <v>2 BHK</v>
      </c>
      <c r="C6" s="80" t="s">
        <v>64</v>
      </c>
      <c r="D6" s="119" t="s">
        <v>106</v>
      </c>
      <c r="E6" s="130">
        <v>0</v>
      </c>
    </row>
    <row r="7" spans="1:8">
      <c r="A7" s="116" t="s">
        <v>65</v>
      </c>
      <c r="B7" s="126" t="str">
        <f>Data!V42</f>
        <v>RRL PAB033</v>
      </c>
      <c r="C7" s="127" t="s">
        <v>66</v>
      </c>
      <c r="D7" s="128" t="s">
        <v>106</v>
      </c>
      <c r="E7" s="131">
        <f>ROUND(SUM(E5:E6),0)</f>
        <v>8700038</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1740007.6</v>
      </c>
      <c r="C11" s="114" t="s">
        <v>572</v>
      </c>
      <c r="D11" s="115">
        <v>0</v>
      </c>
      <c r="E11" s="115">
        <v>200000</v>
      </c>
      <c r="F11" s="4" t="s">
        <v>547</v>
      </c>
    </row>
    <row r="12" spans="1:8">
      <c r="A12" s="112" t="s">
        <v>73</v>
      </c>
      <c r="B12" s="113">
        <f>$E$7*20%</f>
        <v>1740007.6</v>
      </c>
      <c r="C12" s="114" t="s">
        <v>658</v>
      </c>
      <c r="D12" s="115">
        <v>0</v>
      </c>
      <c r="E12" s="115">
        <v>-200000</v>
      </c>
      <c r="F12" s="4"/>
    </row>
    <row r="13" spans="1:8">
      <c r="A13" s="112" t="s">
        <v>74</v>
      </c>
      <c r="B13" s="113">
        <f>$E$7*20%</f>
        <v>1740007.6</v>
      </c>
      <c r="C13" s="114" t="s">
        <v>749</v>
      </c>
      <c r="D13" s="115">
        <v>0</v>
      </c>
      <c r="E13" s="115">
        <v>100000</v>
      </c>
      <c r="F13" s="4" t="s">
        <v>755</v>
      </c>
    </row>
    <row r="14" spans="1:8">
      <c r="A14" s="112" t="s">
        <v>75</v>
      </c>
      <c r="B14" s="113">
        <f>$E$7*15%</f>
        <v>1305005.7</v>
      </c>
      <c r="C14" s="114"/>
      <c r="D14" s="115">
        <v>0</v>
      </c>
      <c r="E14" s="115"/>
      <c r="F14" s="11"/>
    </row>
    <row r="15" spans="1:8">
      <c r="A15" s="112" t="s">
        <v>185</v>
      </c>
      <c r="B15" s="113">
        <f>$E$7*5%</f>
        <v>435001.9</v>
      </c>
      <c r="C15" s="114"/>
      <c r="D15" s="115">
        <v>0</v>
      </c>
      <c r="E15" s="115"/>
      <c r="F15" s="11"/>
    </row>
    <row r="16" spans="1:8">
      <c r="A16" s="112" t="s">
        <v>184</v>
      </c>
      <c r="B16" s="113">
        <f>$E$7*15%</f>
        <v>1305005.7</v>
      </c>
      <c r="C16" s="114"/>
      <c r="D16" s="115">
        <v>0</v>
      </c>
      <c r="E16" s="115"/>
      <c r="F16" s="11"/>
    </row>
    <row r="17" spans="1:8">
      <c r="A17" s="112" t="s">
        <v>76</v>
      </c>
      <c r="B17" s="113">
        <f>$E$7*5%</f>
        <v>435001.9</v>
      </c>
      <c r="C17" s="114"/>
      <c r="D17" s="115">
        <v>0</v>
      </c>
      <c r="E17" s="115"/>
      <c r="F17" s="11"/>
    </row>
    <row r="18" spans="1:8">
      <c r="A18" s="93"/>
      <c r="B18" s="94"/>
      <c r="C18" s="95" t="s">
        <v>77</v>
      </c>
      <c r="D18" s="96">
        <f>SUM(D11:D17)</f>
        <v>0</v>
      </c>
      <c r="E18" s="97">
        <f>SUM(E11:E17)</f>
        <v>100000</v>
      </c>
    </row>
    <row r="19" spans="1:8">
      <c r="A19" s="98"/>
      <c r="B19" s="99"/>
      <c r="C19" s="100"/>
      <c r="D19" s="101" t="s">
        <v>78</v>
      </c>
      <c r="E19" s="164">
        <f>D18+E18</f>
        <v>100000</v>
      </c>
    </row>
    <row r="20" spans="1:8" ht="16.5" thickBot="1">
      <c r="A20" s="102"/>
      <c r="B20" s="103"/>
      <c r="C20" s="100"/>
      <c r="D20" s="101" t="s">
        <v>79</v>
      </c>
      <c r="E20" s="165">
        <f>E7-E19</f>
        <v>8600038</v>
      </c>
    </row>
    <row r="21" spans="1:8" ht="16.5" thickTop="1">
      <c r="A21" s="98" t="str">
        <f>IF(B7="","","NOTE: "&amp;Data!R42)</f>
        <v>NOTE: EXCLUDING GOVERNMENT CHARGES, GST &amp; MAINTENANCE</v>
      </c>
      <c r="B21" s="99"/>
      <c r="C21" s="99"/>
      <c r="D21" s="99"/>
      <c r="E21" s="104"/>
    </row>
    <row r="22" spans="1:8">
      <c r="A22" s="105"/>
      <c r="B22" s="106"/>
      <c r="C22" s="106"/>
      <c r="D22" s="106"/>
      <c r="E22" s="107"/>
    </row>
    <row r="24" spans="1:8">
      <c r="D24" s="13" t="s">
        <v>80</v>
      </c>
      <c r="E24" s="14" t="s">
        <v>81</v>
      </c>
    </row>
    <row r="25" spans="1:8">
      <c r="C25" s="7" t="s">
        <v>82</v>
      </c>
      <c r="E25" s="16">
        <f>E19</f>
        <v>100000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100000</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100000</v>
      </c>
    </row>
    <row r="39" spans="1:8" ht="16.5" thickBot="1">
      <c r="C39" s="17" t="s">
        <v>95</v>
      </c>
      <c r="D39" s="23">
        <f>D37-E37</f>
        <v>-46262.8</v>
      </c>
      <c r="E39" s="24"/>
    </row>
    <row r="40" spans="1:8" ht="16.5" thickTop="1"/>
  </sheetData>
  <mergeCells count="4">
    <mergeCell ref="A9:A10"/>
    <mergeCell ref="B9:B10"/>
    <mergeCell ref="C9:C10"/>
    <mergeCell ref="D9:E9"/>
  </mergeCells>
  <hyperlinks>
    <hyperlink ref="A2:E2" location="Data!A1" display="PROJECT   NAME :  RRL PALACIO" xr:uid="{B7A12F04-3FCF-4EE5-BBDC-D5DEBB7A6460}"/>
  </hyperlinks>
  <pageMargins left="0.7" right="0.7" top="0.75" bottom="0.75" header="0.3" footer="0.3"/>
  <pageSetup paperSize="9" orientation="portrait" horizontalDpi="0"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D60B9E-FEAE-486C-8E86-197A934574A1}">
  <sheetPr codeName="Sheet32"/>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Data!B47</f>
        <v>KONGARA RAMARAO</v>
      </c>
      <c r="B1" s="91"/>
      <c r="C1" s="91"/>
      <c r="D1" s="91"/>
      <c r="E1" s="92"/>
      <c r="F1" s="6" t="str">
        <f>Data!P47</f>
        <v>BOB</v>
      </c>
      <c r="G1" s="7"/>
      <c r="H1" s="8" t="str">
        <f>Data!AX47</f>
        <v>Builder</v>
      </c>
    </row>
    <row r="2" spans="1:8">
      <c r="A2" s="111" t="s">
        <v>105</v>
      </c>
      <c r="B2" s="111"/>
      <c r="C2" s="111"/>
      <c r="D2" s="111"/>
      <c r="E2" s="111"/>
      <c r="G2" s="9" t="s">
        <v>56</v>
      </c>
      <c r="H2" s="9" t="s">
        <v>57</v>
      </c>
    </row>
    <row r="3" spans="1:8">
      <c r="A3" s="116" t="s">
        <v>58</v>
      </c>
      <c r="B3" s="207">
        <f>Data!A47</f>
        <v>1501</v>
      </c>
      <c r="C3" s="118" t="s">
        <v>59</v>
      </c>
      <c r="D3" s="119" t="s">
        <v>106</v>
      </c>
      <c r="E3" s="129">
        <f>Data!F47-'1501'!E4</f>
        <v>7653250</v>
      </c>
      <c r="G3" s="10">
        <f>E7-H3</f>
        <v>835913</v>
      </c>
      <c r="H3" s="10">
        <v>7200000</v>
      </c>
    </row>
    <row r="4" spans="1:8">
      <c r="A4" s="116" t="s">
        <v>60</v>
      </c>
      <c r="B4" s="120" t="str">
        <f>Data!C47</f>
        <v>Tower-1</v>
      </c>
      <c r="C4" s="121" t="s">
        <v>61</v>
      </c>
      <c r="D4" s="122" t="s">
        <v>106</v>
      </c>
      <c r="E4" s="130">
        <f>(Data!F47*5)/105</f>
        <v>382662.5</v>
      </c>
      <c r="F4" s="7" t="s">
        <v>62</v>
      </c>
      <c r="G4" s="10">
        <f>G3-E18</f>
        <v>434117</v>
      </c>
      <c r="H4" s="10">
        <f>H3-D18</f>
        <v>3731535</v>
      </c>
    </row>
    <row r="5" spans="1:8">
      <c r="A5" s="116" t="s">
        <v>63</v>
      </c>
      <c r="B5" s="123">
        <f>Data!E47</f>
        <v>1265</v>
      </c>
      <c r="C5" s="124" t="s">
        <v>52</v>
      </c>
      <c r="D5" s="125" t="s">
        <v>106</v>
      </c>
      <c r="E5" s="129">
        <f>SUM(E3:E4)</f>
        <v>8035912.5</v>
      </c>
    </row>
    <row r="6" spans="1:8">
      <c r="A6" s="116" t="s">
        <v>34</v>
      </c>
      <c r="B6" s="123" t="str">
        <f>Data!D47</f>
        <v>2 BHK</v>
      </c>
      <c r="C6" s="80" t="s">
        <v>64</v>
      </c>
      <c r="D6" s="119" t="s">
        <v>106</v>
      </c>
      <c r="E6" s="130">
        <v>0</v>
      </c>
    </row>
    <row r="7" spans="1:8">
      <c r="A7" s="116" t="s">
        <v>65</v>
      </c>
      <c r="B7" s="126" t="str">
        <f>Data!V47</f>
        <v>RRL PAB004</v>
      </c>
      <c r="C7" s="127" t="s">
        <v>66</v>
      </c>
      <c r="D7" s="128" t="s">
        <v>106</v>
      </c>
      <c r="E7" s="131">
        <f>ROUND(SUM(E5:E6),0)</f>
        <v>8035913</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1607182.6</v>
      </c>
      <c r="C11" s="114" t="s">
        <v>278</v>
      </c>
      <c r="D11" s="115">
        <v>0</v>
      </c>
      <c r="E11" s="115">
        <v>200000</v>
      </c>
      <c r="F11" s="4" t="s">
        <v>373</v>
      </c>
    </row>
    <row r="12" spans="1:8">
      <c r="A12" s="112" t="s">
        <v>73</v>
      </c>
      <c r="B12" s="113">
        <f>$E$7*20%</f>
        <v>1607182.6</v>
      </c>
      <c r="C12" s="114" t="s">
        <v>676</v>
      </c>
      <c r="D12" s="115">
        <v>0</v>
      </c>
      <c r="E12" s="115">
        <v>201796</v>
      </c>
      <c r="F12" s="4" t="s">
        <v>829</v>
      </c>
    </row>
    <row r="13" spans="1:8">
      <c r="A13" s="112" t="s">
        <v>74</v>
      </c>
      <c r="B13" s="113">
        <f>$E$7*20%</f>
        <v>1607182.6</v>
      </c>
      <c r="C13" s="114" t="s">
        <v>868</v>
      </c>
      <c r="D13" s="115">
        <v>3468465</v>
      </c>
      <c r="E13" s="115"/>
      <c r="F13" s="4" t="s">
        <v>867</v>
      </c>
    </row>
    <row r="14" spans="1:8">
      <c r="A14" s="112" t="s">
        <v>75</v>
      </c>
      <c r="B14" s="113">
        <f>$E$7*15%</f>
        <v>1205386.95</v>
      </c>
      <c r="C14" s="114"/>
      <c r="D14" s="115">
        <v>0</v>
      </c>
      <c r="E14" s="115"/>
      <c r="F14" s="11"/>
    </row>
    <row r="15" spans="1:8">
      <c r="A15" s="112" t="s">
        <v>185</v>
      </c>
      <c r="B15" s="113">
        <f>$E$7*5%</f>
        <v>401795.65</v>
      </c>
      <c r="C15" s="114"/>
      <c r="D15" s="115">
        <v>0</v>
      </c>
      <c r="E15" s="115"/>
      <c r="F15" s="11"/>
    </row>
    <row r="16" spans="1:8">
      <c r="A16" s="112" t="s">
        <v>184</v>
      </c>
      <c r="B16" s="113">
        <f>$E$7*15%</f>
        <v>1205386.95</v>
      </c>
      <c r="C16" s="114"/>
      <c r="D16" s="115">
        <v>0</v>
      </c>
      <c r="E16" s="115"/>
      <c r="F16" s="11"/>
    </row>
    <row r="17" spans="1:8">
      <c r="A17" s="112" t="s">
        <v>76</v>
      </c>
      <c r="B17" s="113">
        <f>$E$7*5%</f>
        <v>401795.65</v>
      </c>
      <c r="C17" s="114"/>
      <c r="D17" s="115">
        <v>0</v>
      </c>
      <c r="E17" s="115"/>
      <c r="F17" s="11"/>
    </row>
    <row r="18" spans="1:8">
      <c r="A18" s="93"/>
      <c r="B18" s="94"/>
      <c r="C18" s="95" t="s">
        <v>77</v>
      </c>
      <c r="D18" s="96">
        <f>SUM(D11:D17)</f>
        <v>3468465</v>
      </c>
      <c r="E18" s="97">
        <f>SUM(E11:E17)</f>
        <v>401796</v>
      </c>
    </row>
    <row r="19" spans="1:8">
      <c r="A19" s="98"/>
      <c r="B19" s="99"/>
      <c r="C19" s="100"/>
      <c r="D19" s="101" t="s">
        <v>78</v>
      </c>
      <c r="E19" s="164">
        <f>D18+E18</f>
        <v>3870261</v>
      </c>
    </row>
    <row r="20" spans="1:8" ht="16.5" thickBot="1">
      <c r="A20" s="102"/>
      <c r="B20" s="103"/>
      <c r="C20" s="100"/>
      <c r="D20" s="101" t="s">
        <v>79</v>
      </c>
      <c r="E20" s="165">
        <f>E7-E19</f>
        <v>4165652</v>
      </c>
    </row>
    <row r="21" spans="1:8" ht="16.5" thickTop="1">
      <c r="A21" s="98" t="str">
        <f>IF(B7="","","NOTE: "&amp;Data!R47)</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3870261</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3870261</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3870261</v>
      </c>
    </row>
    <row r="39" spans="1:8" ht="16.5" thickBot="1">
      <c r="C39" s="17" t="s">
        <v>95</v>
      </c>
      <c r="D39" s="23">
        <f>D37-E37</f>
        <v>-3816523.8</v>
      </c>
      <c r="E39" s="24"/>
    </row>
    <row r="40" spans="1:8" ht="16.5" thickTop="1"/>
  </sheetData>
  <mergeCells count="4">
    <mergeCell ref="A9:A10"/>
    <mergeCell ref="B9:B10"/>
    <mergeCell ref="C9:C10"/>
    <mergeCell ref="D9:E9"/>
  </mergeCells>
  <hyperlinks>
    <hyperlink ref="A2:E2" location="Data!A1" display="PROJECT   NAME :  RRL PALACIO" xr:uid="{4C4A2D25-3893-4D31-A9AF-C51DD82FC610}"/>
  </hyperlinks>
  <pageMargins left="0.7" right="0.7" top="0.75" bottom="0.75" header="0.3" footer="0.3"/>
  <pageSetup paperSize="9" orientation="portrait" horizontalDpi="0"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32B87-6210-4DC1-81BB-00F917411CE1}">
  <sheetPr codeName="Sheet47"/>
  <dimension ref="A1:H43"/>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Data!B48</f>
        <v>KAVITA KUMAWAT AND MUKESH KUMAWAT</v>
      </c>
      <c r="B1" s="91"/>
      <c r="C1" s="91"/>
      <c r="D1" s="91"/>
      <c r="E1" s="92"/>
      <c r="F1" s="6" t="str">
        <f>Data!P48</f>
        <v>BOB</v>
      </c>
      <c r="G1" s="7"/>
      <c r="H1" s="8" t="str">
        <f>Data!AX48</f>
        <v>Builder</v>
      </c>
    </row>
    <row r="2" spans="1:8">
      <c r="A2" s="111" t="s">
        <v>105</v>
      </c>
      <c r="B2" s="111"/>
      <c r="C2" s="111"/>
      <c r="D2" s="111"/>
      <c r="E2" s="111"/>
      <c r="G2" s="9" t="s">
        <v>56</v>
      </c>
      <c r="H2" s="9" t="s">
        <v>57</v>
      </c>
    </row>
    <row r="3" spans="1:8">
      <c r="A3" s="116" t="s">
        <v>58</v>
      </c>
      <c r="B3" s="207">
        <f>Data!A48</f>
        <v>1502</v>
      </c>
      <c r="C3" s="118" t="s">
        <v>59</v>
      </c>
      <c r="D3" s="119" t="s">
        <v>106</v>
      </c>
      <c r="E3" s="129">
        <f>Data!F48-'1502'!E4</f>
        <v>9508200</v>
      </c>
      <c r="G3" s="10">
        <f>E7-H3</f>
        <v>1483610</v>
      </c>
      <c r="H3" s="10">
        <v>8500000</v>
      </c>
    </row>
    <row r="4" spans="1:8">
      <c r="A4" s="116" t="s">
        <v>60</v>
      </c>
      <c r="B4" s="120" t="str">
        <f>Data!C48</f>
        <v>Tower-1</v>
      </c>
      <c r="C4" s="121" t="s">
        <v>61</v>
      </c>
      <c r="D4" s="122" t="s">
        <v>106</v>
      </c>
      <c r="E4" s="130">
        <f>(Data!F48*5)/105</f>
        <v>475410</v>
      </c>
      <c r="F4" s="7" t="s">
        <v>62</v>
      </c>
      <c r="G4" s="10">
        <f>G3-E21</f>
        <v>-2509834</v>
      </c>
      <c r="H4" s="10">
        <f>H3-D21</f>
        <v>8500000</v>
      </c>
    </row>
    <row r="5" spans="1:8">
      <c r="A5" s="116" t="s">
        <v>63</v>
      </c>
      <c r="B5" s="123">
        <f>Data!E48</f>
        <v>1495</v>
      </c>
      <c r="C5" s="124" t="s">
        <v>52</v>
      </c>
      <c r="D5" s="125" t="s">
        <v>106</v>
      </c>
      <c r="E5" s="129">
        <f>SUM(E3:E4)</f>
        <v>9983610</v>
      </c>
    </row>
    <row r="6" spans="1:8">
      <c r="A6" s="116" t="s">
        <v>34</v>
      </c>
      <c r="B6" s="123" t="str">
        <f>Data!D48</f>
        <v>3 BHK</v>
      </c>
      <c r="C6" s="80" t="s">
        <v>64</v>
      </c>
      <c r="D6" s="119" t="s">
        <v>106</v>
      </c>
      <c r="E6" s="130">
        <v>0</v>
      </c>
    </row>
    <row r="7" spans="1:8">
      <c r="A7" s="116" t="s">
        <v>65</v>
      </c>
      <c r="B7" s="126" t="str">
        <f>Data!V48</f>
        <v>RRL PAB021</v>
      </c>
      <c r="C7" s="127" t="s">
        <v>66</v>
      </c>
      <c r="D7" s="128" t="s">
        <v>106</v>
      </c>
      <c r="E7" s="131">
        <f>ROUND(SUM(E5:E6),0)</f>
        <v>9983610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1996722</v>
      </c>
      <c r="C11" s="114" t="s">
        <v>416</v>
      </c>
      <c r="D11" s="115">
        <v>0</v>
      </c>
      <c r="E11" s="115">
        <v>30000</v>
      </c>
      <c r="F11" s="4" t="s">
        <v>418</v>
      </c>
    </row>
    <row r="12" spans="1:8">
      <c r="A12" s="112" t="s">
        <v>73</v>
      </c>
      <c r="B12" s="113">
        <f>$E$7*20%</f>
        <v>1996722</v>
      </c>
      <c r="C12" s="114" t="s">
        <v>444</v>
      </c>
      <c r="D12" s="115">
        <v>0</v>
      </c>
      <c r="E12" s="115"/>
    </row>
    <row r="13" spans="1:8">
      <c r="A13" s="112" t="s">
        <v>74</v>
      </c>
      <c r="B13" s="113">
        <f>$E$7*20%</f>
        <v>1996722</v>
      </c>
      <c r="C13" s="114" t="s">
        <v>443</v>
      </c>
      <c r="D13" s="115">
        <v>0</v>
      </c>
      <c r="E13" s="115">
        <v>100000</v>
      </c>
      <c r="F13" s="4" t="s">
        <v>453</v>
      </c>
    </row>
    <row r="14" spans="1:8">
      <c r="A14" s="112" t="s">
        <v>75</v>
      </c>
      <c r="B14" s="113">
        <f>$E$7*15%</f>
        <v>1497541.5</v>
      </c>
      <c r="C14" s="114" t="s">
        <v>504</v>
      </c>
      <c r="D14" s="115">
        <v>0</v>
      </c>
      <c r="E14" s="115"/>
    </row>
    <row r="15" spans="1:8">
      <c r="A15" s="112" t="s">
        <v>185</v>
      </c>
      <c r="B15" s="113">
        <f>$E$7*5%</f>
        <v>499180.5</v>
      </c>
      <c r="C15" s="114" t="s">
        <v>505</v>
      </c>
      <c r="D15" s="115">
        <v>0</v>
      </c>
      <c r="E15" s="115"/>
      <c r="F15" s="11"/>
    </row>
    <row r="16" spans="1:8">
      <c r="A16" s="112" t="s">
        <v>184</v>
      </c>
      <c r="B16" s="113">
        <f>$E$7*15%</f>
        <v>1497541.5</v>
      </c>
      <c r="C16" s="114" t="s">
        <v>693</v>
      </c>
      <c r="D16" s="115">
        <v>0</v>
      </c>
      <c r="E16" s="115">
        <v>375000</v>
      </c>
      <c r="F16" s="4" t="s">
        <v>692</v>
      </c>
    </row>
    <row r="17" spans="1:8">
      <c r="A17" s="112" t="s">
        <v>76</v>
      </c>
      <c r="B17" s="113">
        <f>$E$7*5%</f>
        <v>499180.5</v>
      </c>
      <c r="C17" s="114" t="s">
        <v>506</v>
      </c>
      <c r="D17" s="115">
        <v>0</v>
      </c>
      <c r="E17" s="115">
        <v>-5819</v>
      </c>
      <c r="F17" s="11"/>
    </row>
    <row r="18" spans="1:8">
      <c r="A18" s="112"/>
      <c r="B18" s="113"/>
      <c r="C18" s="114" t="s">
        <v>751</v>
      </c>
      <c r="D18" s="115">
        <v>0</v>
      </c>
      <c r="E18" s="115">
        <v>3494263</v>
      </c>
      <c r="F18" s="4" t="s">
        <v>752</v>
      </c>
    </row>
    <row r="19" spans="1:8">
      <c r="A19" s="112"/>
      <c r="B19" s="113"/>
      <c r="C19" s="114"/>
      <c r="D19" s="115">
        <v>0</v>
      </c>
      <c r="E19" s="115"/>
      <c r="F19" s="11"/>
    </row>
    <row r="20" spans="1:8">
      <c r="A20" s="112"/>
      <c r="B20" s="113"/>
      <c r="C20" s="114"/>
      <c r="D20" s="115">
        <v>0</v>
      </c>
      <c r="E20" s="115"/>
      <c r="F20" s="11"/>
    </row>
    <row r="21" spans="1:8">
      <c r="A21" s="93"/>
      <c r="B21" s="94"/>
      <c r="C21" s="95" t="s">
        <v>77</v>
      </c>
      <c r="D21" s="96">
        <f>SUM(D11:D20)</f>
        <v>0</v>
      </c>
      <c r="E21" s="97">
        <f>SUM(E11:E18)</f>
        <v>3993444</v>
      </c>
    </row>
    <row r="22" spans="1:8">
      <c r="A22" s="98"/>
      <c r="B22" s="99"/>
      <c r="C22" s="100"/>
      <c r="D22" s="101" t="s">
        <v>78</v>
      </c>
      <c r="E22" s="164">
        <f>D21+E21</f>
        <v>3993444</v>
      </c>
    </row>
    <row r="23" spans="1:8" ht="16.5" thickBot="1">
      <c r="A23" s="102"/>
      <c r="B23" s="103"/>
      <c r="C23" s="100"/>
      <c r="D23" s="101" t="s">
        <v>79</v>
      </c>
      <c r="E23" s="165">
        <f>E7-E22</f>
        <v>5990166</v>
      </c>
    </row>
    <row r="24" spans="1:8" ht="16.5" thickTop="1">
      <c r="A24" s="98" t="str">
        <f>IF(B7="","","NOTE: "&amp;Data!R48)</f>
        <v>NOTE: EXCLUDING GOVERNMENT CHARGES, MAINTENANCE</v>
      </c>
      <c r="B24" s="99"/>
      <c r="C24" s="99"/>
      <c r="D24" s="99"/>
      <c r="E24" s="104"/>
    </row>
    <row r="25" spans="1:8">
      <c r="A25" s="105"/>
      <c r="B25" s="106"/>
      <c r="C25" s="106"/>
      <c r="D25" s="106"/>
      <c r="E25" s="107"/>
    </row>
    <row r="27" spans="1:8">
      <c r="D27" s="13" t="s">
        <v>80</v>
      </c>
      <c r="E27" s="14" t="s">
        <v>81</v>
      </c>
    </row>
    <row r="28" spans="1:8">
      <c r="C28" s="7" t="s">
        <v>82</v>
      </c>
      <c r="E28" s="16">
        <f>E22</f>
        <v>3993444</v>
      </c>
    </row>
    <row r="29" spans="1:8">
      <c r="C29" s="7" t="s">
        <v>83</v>
      </c>
      <c r="D29" s="12">
        <v>0</v>
      </c>
      <c r="E29" s="16"/>
    </row>
    <row r="30" spans="1:8">
      <c r="C30" s="17" t="s">
        <v>84</v>
      </c>
      <c r="D30" s="13">
        <f>SUM(D28:D29)</f>
        <v>0</v>
      </c>
      <c r="E30" s="16"/>
    </row>
    <row r="31" spans="1:8" s="15" customFormat="1">
      <c r="A31" s="6"/>
      <c r="B31" s="6"/>
      <c r="C31" s="7" t="s">
        <v>85</v>
      </c>
      <c r="D31" s="12">
        <f>D30*5%</f>
        <v>0</v>
      </c>
      <c r="E31" s="18"/>
      <c r="F31" s="6"/>
      <c r="G31" s="6"/>
      <c r="H31" s="6"/>
    </row>
    <row r="32" spans="1:8" s="15" customFormat="1">
      <c r="A32" s="6"/>
      <c r="B32" s="6"/>
      <c r="C32" s="7" t="s">
        <v>86</v>
      </c>
      <c r="D32" s="19">
        <v>0</v>
      </c>
      <c r="E32" s="20"/>
      <c r="F32" s="6"/>
      <c r="G32" s="6"/>
      <c r="H32" s="6"/>
    </row>
    <row r="33" spans="1:8" s="15" customFormat="1">
      <c r="A33" s="6"/>
      <c r="B33" s="6"/>
      <c r="C33" s="17" t="s">
        <v>87</v>
      </c>
      <c r="D33" s="13">
        <f>D30+D31+D32</f>
        <v>0</v>
      </c>
      <c r="E33" s="14">
        <f>SUM(E28:E32)</f>
        <v>3993444</v>
      </c>
      <c r="F33" s="6"/>
      <c r="G33" s="6"/>
      <c r="H33" s="6"/>
    </row>
    <row r="34" spans="1:8" s="15" customFormat="1">
      <c r="A34" s="6"/>
      <c r="B34" s="6"/>
      <c r="C34" s="7" t="s">
        <v>88</v>
      </c>
      <c r="D34" s="12">
        <f>B5*3*12</f>
        <v>53820</v>
      </c>
      <c r="E34" s="16" t="str">
        <f>IF(D34="","Maintenance will be paid to Association","")</f>
        <v/>
      </c>
      <c r="F34" s="6"/>
      <c r="G34" s="6"/>
      <c r="H34" s="6"/>
    </row>
    <row r="35" spans="1:8" s="15" customFormat="1">
      <c r="A35" s="6"/>
      <c r="B35" s="6"/>
      <c r="C35" s="7" t="s">
        <v>89</v>
      </c>
      <c r="D35" s="19">
        <f>IF(D34="","",D34*18%)</f>
        <v>9687.6</v>
      </c>
      <c r="E35" s="20"/>
      <c r="F35" s="6"/>
      <c r="G35" s="6"/>
      <c r="H35" s="6"/>
    </row>
    <row r="36" spans="1:8" s="15" customFormat="1">
      <c r="A36" s="6"/>
      <c r="B36" s="6"/>
      <c r="C36" s="17" t="s">
        <v>90</v>
      </c>
      <c r="D36" s="13">
        <f>SUM(D34:D35)</f>
        <v>63507.6</v>
      </c>
      <c r="E36" s="14">
        <f>SUM(E34:E35)</f>
        <v>0</v>
      </c>
      <c r="F36" s="6"/>
      <c r="G36" s="6"/>
      <c r="H36" s="6"/>
    </row>
    <row r="37" spans="1:8">
      <c r="C37" s="7" t="s">
        <v>91</v>
      </c>
      <c r="D37" s="12">
        <v>0</v>
      </c>
      <c r="E37" s="16"/>
    </row>
    <row r="38" spans="1:8" s="15" customFormat="1">
      <c r="A38" s="6"/>
      <c r="B38" s="6"/>
      <c r="C38" s="7" t="s">
        <v>92</v>
      </c>
      <c r="D38" s="12"/>
      <c r="E38" s="16"/>
      <c r="F38" s="6"/>
      <c r="G38" s="6"/>
      <c r="H38" s="6"/>
    </row>
    <row r="39" spans="1:8" s="15" customFormat="1">
      <c r="A39" s="6"/>
      <c r="B39" s="6"/>
      <c r="C39" s="7" t="s">
        <v>93</v>
      </c>
      <c r="D39" s="19"/>
      <c r="E39" s="20"/>
      <c r="F39" s="6"/>
      <c r="G39" s="6"/>
      <c r="H39" s="6"/>
    </row>
    <row r="40" spans="1:8">
      <c r="C40" s="17" t="s">
        <v>94</v>
      </c>
      <c r="D40" s="21">
        <f>SUM(D37:D39)+D36+D33</f>
        <v>63507.6</v>
      </c>
      <c r="E40" s="22">
        <f>SUM(E37:E39)+E36+E33</f>
        <v>3993444</v>
      </c>
    </row>
    <row r="42" spans="1:8" ht="16.5" thickBot="1">
      <c r="C42" s="17" t="s">
        <v>95</v>
      </c>
      <c r="D42" s="23">
        <f>D40-E40</f>
        <v>-3929936.4</v>
      </c>
      <c r="E42" s="24"/>
    </row>
    <row r="43" spans="1:8" ht="16.5" thickTop="1"/>
  </sheetData>
  <mergeCells count="4">
    <mergeCell ref="A9:A10"/>
    <mergeCell ref="B9:B10"/>
    <mergeCell ref="C9:C10"/>
    <mergeCell ref="D9:E9"/>
  </mergeCells>
  <hyperlinks>
    <hyperlink ref="A2:E2" location="Data!A1" display="PROJECT   NAME :  RRL PALACIO" xr:uid="{CE688DE9-3F34-4EF4-B7A2-55B20ED070CA}"/>
  </hyperlinks>
  <pageMargins left="0.7" right="0.7" top="0.75" bottom="0.75" header="0.3" footer="0.3"/>
  <pageSetup paperSize="9"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AF72C-E436-48E4-9E9B-DD9C3C7AED5B}">
  <sheetPr codeName="Sheet37"/>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Data!B49</f>
        <v>KONDURU MURALI KRISHNAMARAJU</v>
      </c>
      <c r="B1" s="91"/>
      <c r="C1" s="91"/>
      <c r="D1" s="91"/>
      <c r="E1" s="92"/>
      <c r="F1" s="6" t="str">
        <f>Data!P49</f>
        <v>BOB</v>
      </c>
      <c r="G1" s="7"/>
      <c r="H1" s="8" t="str">
        <f>Data!AX49</f>
        <v>Builder</v>
      </c>
    </row>
    <row r="2" spans="1:8">
      <c r="A2" s="111" t="s">
        <v>105</v>
      </c>
      <c r="B2" s="111"/>
      <c r="C2" s="111"/>
      <c r="D2" s="111"/>
      <c r="E2" s="111"/>
      <c r="G2" s="9" t="s">
        <v>56</v>
      </c>
      <c r="H2" s="9" t="s">
        <v>57</v>
      </c>
    </row>
    <row r="3" spans="1:8">
      <c r="A3" s="116" t="s">
        <v>58</v>
      </c>
      <c r="B3" s="207">
        <f>Data!A49</f>
        <v>1503</v>
      </c>
      <c r="C3" s="118" t="s">
        <v>59</v>
      </c>
      <c r="D3" s="119" t="s">
        <v>106</v>
      </c>
      <c r="E3" s="129">
        <f>Data!F49-'1503'!E4</f>
        <v>9861500</v>
      </c>
      <c r="G3" s="10">
        <f>E7-H3</f>
        <v>1054575</v>
      </c>
      <c r="H3" s="10">
        <v>9300000</v>
      </c>
    </row>
    <row r="4" spans="1:8">
      <c r="A4" s="116" t="s">
        <v>60</v>
      </c>
      <c r="B4" s="120" t="str">
        <f>Data!C49</f>
        <v>Tower-1</v>
      </c>
      <c r="C4" s="121" t="s">
        <v>61</v>
      </c>
      <c r="D4" s="122" t="s">
        <v>106</v>
      </c>
      <c r="E4" s="130">
        <f>(Data!F49*5)/105</f>
        <v>493075</v>
      </c>
      <c r="F4" s="7" t="s">
        <v>62</v>
      </c>
      <c r="G4" s="10">
        <f>G3-E18</f>
        <v>536847</v>
      </c>
      <c r="H4" s="10">
        <f>H3-D18</f>
        <v>5675898</v>
      </c>
    </row>
    <row r="5" spans="1:8">
      <c r="A5" s="116" t="s">
        <v>63</v>
      </c>
      <c r="B5" s="123">
        <f>Data!E49</f>
        <v>1630</v>
      </c>
      <c r="C5" s="124" t="s">
        <v>52</v>
      </c>
      <c r="D5" s="125" t="s">
        <v>106</v>
      </c>
      <c r="E5" s="129">
        <f>SUM(E3:E4)</f>
        <v>10354575</v>
      </c>
    </row>
    <row r="6" spans="1:8">
      <c r="A6" s="116" t="s">
        <v>34</v>
      </c>
      <c r="B6" s="123" t="str">
        <f>Data!D49</f>
        <v>3 BHK</v>
      </c>
      <c r="C6" s="80" t="s">
        <v>64</v>
      </c>
      <c r="D6" s="119" t="s">
        <v>106</v>
      </c>
      <c r="E6" s="130">
        <v>0</v>
      </c>
    </row>
    <row r="7" spans="1:8">
      <c r="A7" s="116" t="s">
        <v>65</v>
      </c>
      <c r="B7" s="126" t="str">
        <f>Data!V49</f>
        <v>RRL PAB020</v>
      </c>
      <c r="C7" s="127" t="s">
        <v>66</v>
      </c>
      <c r="D7" s="128" t="s">
        <v>106</v>
      </c>
      <c r="E7" s="131">
        <f>ROUND(SUM(E5:E6),0)</f>
        <v>10354575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2070915</v>
      </c>
      <c r="C11" s="114" t="s">
        <v>277</v>
      </c>
      <c r="D11" s="115">
        <v>0</v>
      </c>
      <c r="E11" s="115">
        <v>400000</v>
      </c>
      <c r="F11" s="4" t="s">
        <v>405</v>
      </c>
    </row>
    <row r="12" spans="1:8">
      <c r="A12" s="112" t="s">
        <v>73</v>
      </c>
      <c r="B12" s="113">
        <f>$E$7*20%</f>
        <v>2070915</v>
      </c>
      <c r="C12" s="114" t="s">
        <v>671</v>
      </c>
      <c r="D12" s="115">
        <v>0</v>
      </c>
      <c r="E12" s="115">
        <v>117728</v>
      </c>
      <c r="F12" s="4" t="s">
        <v>824</v>
      </c>
    </row>
    <row r="13" spans="1:8">
      <c r="A13" s="112" t="s">
        <v>74</v>
      </c>
      <c r="B13" s="113">
        <f>$E$7*20%</f>
        <v>2070915</v>
      </c>
      <c r="C13" s="114" t="s">
        <v>987</v>
      </c>
      <c r="D13" s="115">
        <v>3624102</v>
      </c>
      <c r="E13" s="115"/>
      <c r="F13" s="11" t="s">
        <v>983</v>
      </c>
    </row>
    <row r="14" spans="1:8">
      <c r="A14" s="112" t="s">
        <v>75</v>
      </c>
      <c r="B14" s="113">
        <f>$E$7*15%</f>
        <v>1553186.25</v>
      </c>
      <c r="C14" s="114"/>
      <c r="D14" s="115">
        <v>0</v>
      </c>
      <c r="E14" s="115"/>
      <c r="F14" s="11"/>
    </row>
    <row r="15" spans="1:8">
      <c r="A15" s="112" t="s">
        <v>185</v>
      </c>
      <c r="B15" s="113">
        <f>$E$7*5%</f>
        <v>517728.75</v>
      </c>
      <c r="C15" s="114"/>
      <c r="D15" s="115">
        <v>0</v>
      </c>
      <c r="E15" s="115"/>
      <c r="F15" s="11"/>
    </row>
    <row r="16" spans="1:8">
      <c r="A16" s="112" t="s">
        <v>184</v>
      </c>
      <c r="B16" s="113">
        <f>$E$7*15%</f>
        <v>1553186.25</v>
      </c>
      <c r="C16" s="114"/>
      <c r="D16" s="115">
        <v>0</v>
      </c>
      <c r="E16" s="115"/>
      <c r="F16" s="11"/>
    </row>
    <row r="17" spans="1:8">
      <c r="A17" s="112" t="s">
        <v>76</v>
      </c>
      <c r="B17" s="113">
        <f>$E$7*5%</f>
        <v>517728.75</v>
      </c>
      <c r="C17" s="114"/>
      <c r="D17" s="115">
        <v>0</v>
      </c>
      <c r="E17" s="115"/>
      <c r="F17" s="11"/>
    </row>
    <row r="18" spans="1:8">
      <c r="A18" s="93"/>
      <c r="B18" s="94"/>
      <c r="C18" s="95" t="s">
        <v>77</v>
      </c>
      <c r="D18" s="96">
        <f>SUM(D11:D17)</f>
        <v>3624102</v>
      </c>
      <c r="E18" s="97">
        <f>SUM(E11:E17)</f>
        <v>517728</v>
      </c>
    </row>
    <row r="19" spans="1:8">
      <c r="A19" s="98"/>
      <c r="B19" s="99"/>
      <c r="C19" s="100"/>
      <c r="D19" s="101" t="s">
        <v>78</v>
      </c>
      <c r="E19" s="164">
        <f>D18+E18</f>
        <v>4141830</v>
      </c>
    </row>
    <row r="20" spans="1:8" ht="16.5" thickBot="1">
      <c r="A20" s="102"/>
      <c r="B20" s="103"/>
      <c r="C20" s="100"/>
      <c r="D20" s="101" t="s">
        <v>79</v>
      </c>
      <c r="E20" s="165">
        <f>E7-E19</f>
        <v>6212745</v>
      </c>
    </row>
    <row r="21" spans="1:8" ht="16.5" thickTop="1">
      <c r="A21" s="98" t="str">
        <f>IF(B7="","","NOTE: "&amp;Data!R49)</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4141830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4141830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4141830</v>
      </c>
    </row>
    <row r="39" spans="1:8" ht="16.5" thickBot="1">
      <c r="C39" s="17" t="s">
        <v>95</v>
      </c>
      <c r="D39" s="23">
        <f>D37-E37</f>
        <v>-4072587.6</v>
      </c>
      <c r="E39" s="24"/>
    </row>
    <row r="40" spans="1:8" ht="16.5" thickTop="1"/>
  </sheetData>
  <mergeCells count="4">
    <mergeCell ref="A9:A10"/>
    <mergeCell ref="B9:B10"/>
    <mergeCell ref="C9:C10"/>
    <mergeCell ref="D9:E9"/>
  </mergeCells>
  <hyperlinks>
    <hyperlink ref="A2:E2" location="Data!A1" display="PROJECT   NAME :  RRL PALACIO" xr:uid="{16A59183-654A-4C6B-9DE8-B04B6B116468}"/>
  </hyperlinks>
  <pageMargins left="0.7" right="0.7" top="0.75" bottom="0.75" header="0.3" footer="0.3"/>
  <pageSetup paperSize="9"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1B929-85BC-4CF3-B266-5121040DE02B}">
  <sheetPr codeName="Sheet40"/>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140625" style="6" bestFit="1" customWidth="1"/>
    <col min="8" max="8" width="9.85546875" style="6" bestFit="1" customWidth="1"/>
    <col min="9" max="16384" width="11.42578125" style="6"/>
  </cols>
  <sheetData>
    <row r="1" spans="1:8">
      <c r="A1" s="166" t="str">
        <f>Data!B51</f>
        <v>ACHAL KAPOOR AND KAVERI TANDON</v>
      </c>
      <c r="B1" s="91"/>
      <c r="C1" s="91"/>
      <c r="D1" s="91"/>
      <c r="E1" s="92"/>
      <c r="F1" s="6" t="str">
        <f>Data!P51</f>
        <v>HDFC</v>
      </c>
      <c r="G1" s="7"/>
      <c r="H1" s="8" t="str">
        <f>Data!AX51</f>
        <v>Builder</v>
      </c>
    </row>
    <row r="2" spans="1:8">
      <c r="A2" s="111" t="s">
        <v>105</v>
      </c>
      <c r="B2" s="111"/>
      <c r="C2" s="111"/>
      <c r="D2" s="111"/>
      <c r="E2" s="111"/>
      <c r="G2" s="9" t="s">
        <v>56</v>
      </c>
      <c r="H2" s="9" t="s">
        <v>57</v>
      </c>
    </row>
    <row r="3" spans="1:8">
      <c r="A3" s="116" t="s">
        <v>58</v>
      </c>
      <c r="B3" s="207">
        <f>Data!A51</f>
        <v>1505</v>
      </c>
      <c r="C3" s="118" t="s">
        <v>59</v>
      </c>
      <c r="D3" s="119" t="s">
        <v>106</v>
      </c>
      <c r="E3" s="129">
        <f>Data!F51-'1505'!E4</f>
        <v>9664000</v>
      </c>
      <c r="G3" s="10">
        <f>E7-H3</f>
        <v>3647200</v>
      </c>
      <c r="H3" s="10">
        <v>6500000</v>
      </c>
    </row>
    <row r="4" spans="1:8">
      <c r="A4" s="116" t="s">
        <v>60</v>
      </c>
      <c r="B4" s="120" t="str">
        <f>Data!C51</f>
        <v>Tower-1</v>
      </c>
      <c r="C4" s="121" t="s">
        <v>61</v>
      </c>
      <c r="D4" s="122" t="s">
        <v>106</v>
      </c>
      <c r="E4" s="130">
        <f>(Data!F51*5)/105</f>
        <v>483200</v>
      </c>
      <c r="F4" s="7" t="s">
        <v>62</v>
      </c>
      <c r="G4" s="10">
        <f>G3-E18</f>
        <v>1617760</v>
      </c>
      <c r="H4" s="10">
        <f>H3-D18</f>
        <v>4470560</v>
      </c>
    </row>
    <row r="5" spans="1:8">
      <c r="A5" s="116" t="s">
        <v>63</v>
      </c>
      <c r="B5" s="123">
        <f>Data!E51</f>
        <v>1510</v>
      </c>
      <c r="C5" s="124" t="s">
        <v>52</v>
      </c>
      <c r="D5" s="125" t="s">
        <v>106</v>
      </c>
      <c r="E5" s="129">
        <f>SUM(E3:E4)</f>
        <v>10147200</v>
      </c>
    </row>
    <row r="6" spans="1:8">
      <c r="A6" s="116" t="s">
        <v>34</v>
      </c>
      <c r="B6" s="123" t="str">
        <f>Data!D51</f>
        <v>3 BHK</v>
      </c>
      <c r="C6" s="80" t="s">
        <v>64</v>
      </c>
      <c r="D6" s="119" t="s">
        <v>106</v>
      </c>
      <c r="E6" s="130">
        <v>0</v>
      </c>
    </row>
    <row r="7" spans="1:8">
      <c r="A7" s="116" t="s">
        <v>65</v>
      </c>
      <c r="B7" s="126" t="str">
        <f>Data!V51</f>
        <v>RRL PAB014</v>
      </c>
      <c r="C7" s="127" t="s">
        <v>66</v>
      </c>
      <c r="D7" s="128" t="s">
        <v>106</v>
      </c>
      <c r="E7" s="131">
        <f>ROUND(SUM(E5:E6),0)</f>
        <v>10147200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2029440</v>
      </c>
      <c r="C11" s="114" t="s">
        <v>441</v>
      </c>
      <c r="D11" s="115">
        <v>0</v>
      </c>
      <c r="E11" s="115">
        <v>200000</v>
      </c>
      <c r="F11" s="4" t="s">
        <v>383</v>
      </c>
    </row>
    <row r="12" spans="1:8">
      <c r="A12" s="112" t="s">
        <v>73</v>
      </c>
      <c r="B12" s="113">
        <f>$E$7*20%</f>
        <v>2029440</v>
      </c>
      <c r="C12" s="114" t="s">
        <v>442</v>
      </c>
      <c r="D12" s="115">
        <v>0</v>
      </c>
      <c r="E12" s="115">
        <v>307360</v>
      </c>
      <c r="F12" s="4" t="s">
        <v>451</v>
      </c>
    </row>
    <row r="13" spans="1:8">
      <c r="A13" s="112" t="s">
        <v>74</v>
      </c>
      <c r="B13" s="113">
        <f>$E$7*20%</f>
        <v>2029440</v>
      </c>
      <c r="C13" s="114" t="s">
        <v>542</v>
      </c>
      <c r="D13" s="115">
        <v>0</v>
      </c>
      <c r="E13" s="115">
        <v>1522080</v>
      </c>
      <c r="F13" s="4" t="s">
        <v>593</v>
      </c>
    </row>
    <row r="14" spans="1:8">
      <c r="A14" s="112" t="s">
        <v>75</v>
      </c>
      <c r="B14" s="113">
        <f>$E$7*15%</f>
        <v>1522080</v>
      </c>
      <c r="C14" s="114" t="s">
        <v>930</v>
      </c>
      <c r="D14" s="115">
        <v>2029440</v>
      </c>
      <c r="E14" s="115"/>
      <c r="F14" s="4" t="s">
        <v>928</v>
      </c>
    </row>
    <row r="15" spans="1:8">
      <c r="A15" s="112" t="s">
        <v>185</v>
      </c>
      <c r="B15" s="113">
        <f>$E$7*5%</f>
        <v>507360</v>
      </c>
      <c r="C15" s="114"/>
      <c r="D15" s="115">
        <v>0</v>
      </c>
      <c r="E15" s="115"/>
      <c r="F15" s="11"/>
    </row>
    <row r="16" spans="1:8">
      <c r="A16" s="112" t="s">
        <v>184</v>
      </c>
      <c r="B16" s="113">
        <f>$E$7*15%</f>
        <v>1522080</v>
      </c>
      <c r="C16" s="114"/>
      <c r="D16" s="115">
        <v>0</v>
      </c>
      <c r="E16" s="115"/>
      <c r="F16" s="11"/>
    </row>
    <row r="17" spans="1:8">
      <c r="A17" s="112" t="s">
        <v>76</v>
      </c>
      <c r="B17" s="113">
        <f>$E$7*5%</f>
        <v>507360</v>
      </c>
      <c r="C17" s="114"/>
      <c r="D17" s="115">
        <v>0</v>
      </c>
      <c r="E17" s="115"/>
      <c r="F17" s="11"/>
    </row>
    <row r="18" spans="1:8">
      <c r="A18" s="93"/>
      <c r="B18" s="94"/>
      <c r="C18" s="95" t="s">
        <v>77</v>
      </c>
      <c r="D18" s="96">
        <f>SUM(D11:D17)</f>
        <v>2029440</v>
      </c>
      <c r="E18" s="97">
        <f>SUM(E11:E17)</f>
        <v>2029440</v>
      </c>
    </row>
    <row r="19" spans="1:8">
      <c r="A19" s="98"/>
      <c r="B19" s="99"/>
      <c r="C19" s="100"/>
      <c r="D19" s="101" t="s">
        <v>78</v>
      </c>
      <c r="E19" s="164">
        <f>D18+E18</f>
        <v>4058880</v>
      </c>
    </row>
    <row r="20" spans="1:8" ht="16.5" thickBot="1">
      <c r="A20" s="102"/>
      <c r="B20" s="103"/>
      <c r="C20" s="100"/>
      <c r="D20" s="101" t="s">
        <v>79</v>
      </c>
      <c r="E20" s="165">
        <f>E7-E19</f>
        <v>6088320</v>
      </c>
    </row>
    <row r="21" spans="1:8" ht="16.5" thickTop="1">
      <c r="A21" s="98" t="str">
        <f>IF(B7="","","NOTE: "&amp;Data!R51)</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4058880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4058880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4058880</v>
      </c>
    </row>
    <row r="39" spans="1:8" ht="16.5" thickBot="1">
      <c r="C39" s="17" t="s">
        <v>95</v>
      </c>
      <c r="D39" s="23">
        <f>D37-E37</f>
        <v>-3994735.2</v>
      </c>
      <c r="E39" s="24"/>
    </row>
    <row r="40" spans="1:8" ht="16.5" thickTop="1"/>
  </sheetData>
  <mergeCells count="4">
    <mergeCell ref="A9:A10"/>
    <mergeCell ref="B9:B10"/>
    <mergeCell ref="C9:C10"/>
    <mergeCell ref="D9:E9"/>
  </mergeCells>
  <hyperlinks>
    <hyperlink ref="A2:E2" location="Data!A1" display="PROJECT   NAME :  RRL PALACIO" xr:uid="{16DF6C1F-BD24-490A-8BE2-DCADB825873C}"/>
  </hyperlinks>
  <pageMargins left="0.7" right="0.7" top="0.75" bottom="0.75" header="0.3" footer="0.3"/>
  <pageSetup paperSize="9" orientation="portrait" horizontalDpi="0"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6A739-9ABA-4543-B3C5-EDE1ED5B7A08}">
  <sheetPr codeName="Sheet34"/>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Data!B52</f>
        <v>ALURU RANGANAYAKULU</v>
      </c>
      <c r="B1" s="91"/>
      <c r="C1" s="91"/>
      <c r="D1" s="91"/>
      <c r="E1" s="92"/>
      <c r="F1" s="6" t="str">
        <f>Data!P52</f>
        <v>BOB</v>
      </c>
      <c r="G1" s="7"/>
      <c r="H1" s="8" t="str">
        <f>Data!AX52</f>
        <v>Builder</v>
      </c>
    </row>
    <row r="2" spans="1:8">
      <c r="A2" s="111" t="s">
        <v>105</v>
      </c>
      <c r="B2" s="111"/>
      <c r="C2" s="111"/>
      <c r="D2" s="111"/>
      <c r="E2" s="111"/>
      <c r="G2" s="9" t="s">
        <v>56</v>
      </c>
      <c r="H2" s="9" t="s">
        <v>57</v>
      </c>
    </row>
    <row r="3" spans="1:8">
      <c r="A3" s="116" t="s">
        <v>58</v>
      </c>
      <c r="B3" s="207">
        <f>Data!A52</f>
        <v>1601</v>
      </c>
      <c r="C3" s="118" t="s">
        <v>59</v>
      </c>
      <c r="D3" s="119" t="s">
        <v>106</v>
      </c>
      <c r="E3" s="129">
        <f>Data!F52-'1601'!E4</f>
        <v>7653250</v>
      </c>
      <c r="G3" s="10">
        <f>E7-H3</f>
        <v>790913</v>
      </c>
      <c r="H3" s="10">
        <v>7245000</v>
      </c>
    </row>
    <row r="4" spans="1:8">
      <c r="A4" s="116" t="s">
        <v>60</v>
      </c>
      <c r="B4" s="120" t="str">
        <f>Data!C52</f>
        <v>Tower-1</v>
      </c>
      <c r="C4" s="121" t="s">
        <v>61</v>
      </c>
      <c r="D4" s="122" t="s">
        <v>106</v>
      </c>
      <c r="E4" s="130">
        <f>(Data!F52*5)/105</f>
        <v>382662.5</v>
      </c>
      <c r="F4" s="7" t="s">
        <v>62</v>
      </c>
      <c r="G4" s="10">
        <f>G3-E18</f>
        <v>389117</v>
      </c>
      <c r="H4" s="10">
        <f>H3-D18</f>
        <v>4432431</v>
      </c>
    </row>
    <row r="5" spans="1:8">
      <c r="A5" s="116" t="s">
        <v>63</v>
      </c>
      <c r="B5" s="123">
        <f>Data!E52</f>
        <v>1265</v>
      </c>
      <c r="C5" s="124" t="s">
        <v>52</v>
      </c>
      <c r="D5" s="125" t="s">
        <v>106</v>
      </c>
      <c r="E5" s="129">
        <f>SUM(E3:E4)</f>
        <v>8035912.5</v>
      </c>
    </row>
    <row r="6" spans="1:8">
      <c r="A6" s="116" t="s">
        <v>34</v>
      </c>
      <c r="B6" s="123" t="str">
        <f>Data!D52</f>
        <v>2 BHK</v>
      </c>
      <c r="C6" s="80" t="s">
        <v>64</v>
      </c>
      <c r="D6" s="119" t="s">
        <v>106</v>
      </c>
      <c r="E6" s="130">
        <v>0</v>
      </c>
    </row>
    <row r="7" spans="1:8">
      <c r="A7" s="116" t="s">
        <v>65</v>
      </c>
      <c r="B7" s="126" t="str">
        <f>Data!V52</f>
        <v>RRL PAB010</v>
      </c>
      <c r="C7" s="127" t="s">
        <v>66</v>
      </c>
      <c r="D7" s="128" t="s">
        <v>106</v>
      </c>
      <c r="E7" s="131">
        <f>ROUND(SUM(E5:E6),0)</f>
        <v>8035913</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1607182.6</v>
      </c>
      <c r="C11" s="114" t="s">
        <v>659</v>
      </c>
      <c r="D11" s="115">
        <v>0</v>
      </c>
      <c r="E11" s="115">
        <v>200000</v>
      </c>
      <c r="F11" s="4" t="s">
        <v>399</v>
      </c>
    </row>
    <row r="12" spans="1:8">
      <c r="A12" s="112" t="s">
        <v>73</v>
      </c>
      <c r="B12" s="113">
        <f>$E$7*20%</f>
        <v>1607182.6</v>
      </c>
      <c r="C12" s="114" t="s">
        <v>660</v>
      </c>
      <c r="D12" s="115">
        <v>0</v>
      </c>
      <c r="E12" s="115">
        <v>201796</v>
      </c>
      <c r="F12" s="4" t="s">
        <v>839</v>
      </c>
    </row>
    <row r="13" spans="1:8">
      <c r="A13" s="112" t="s">
        <v>74</v>
      </c>
      <c r="B13" s="113">
        <f>$E$7*20%</f>
        <v>1607182.6</v>
      </c>
      <c r="C13" s="114" t="s">
        <v>864</v>
      </c>
      <c r="D13" s="115">
        <v>2812569</v>
      </c>
      <c r="E13" s="115"/>
      <c r="F13" s="4" t="s">
        <v>863</v>
      </c>
    </row>
    <row r="14" spans="1:8">
      <c r="A14" s="112" t="s">
        <v>75</v>
      </c>
      <c r="B14" s="113">
        <f>$E$7*15%</f>
        <v>1205386.95</v>
      </c>
      <c r="C14" s="114"/>
      <c r="D14" s="115">
        <v>0</v>
      </c>
      <c r="E14" s="115"/>
      <c r="F14" s="11"/>
    </row>
    <row r="15" spans="1:8">
      <c r="A15" s="112" t="s">
        <v>185</v>
      </c>
      <c r="B15" s="113">
        <f>$E$7*5%</f>
        <v>401795.65</v>
      </c>
      <c r="C15" s="114"/>
      <c r="D15" s="115">
        <v>0</v>
      </c>
      <c r="E15" s="115"/>
      <c r="F15" s="11"/>
    </row>
    <row r="16" spans="1:8">
      <c r="A16" s="112" t="s">
        <v>184</v>
      </c>
      <c r="B16" s="113">
        <f>$E$7*15%</f>
        <v>1205386.95</v>
      </c>
      <c r="C16" s="114"/>
      <c r="D16" s="115">
        <v>0</v>
      </c>
      <c r="E16" s="115"/>
      <c r="F16" s="11"/>
    </row>
    <row r="17" spans="1:8">
      <c r="A17" s="112" t="s">
        <v>76</v>
      </c>
      <c r="B17" s="113">
        <f>$E$7*5%</f>
        <v>401795.65</v>
      </c>
      <c r="C17" s="114"/>
      <c r="D17" s="115">
        <v>0</v>
      </c>
      <c r="E17" s="115"/>
      <c r="F17" s="11"/>
    </row>
    <row r="18" spans="1:8">
      <c r="A18" s="93"/>
      <c r="B18" s="94"/>
      <c r="C18" s="95" t="s">
        <v>77</v>
      </c>
      <c r="D18" s="96">
        <f>SUM(D11:D17)</f>
        <v>2812569</v>
      </c>
      <c r="E18" s="97">
        <f>SUM(E11:E17)</f>
        <v>401796</v>
      </c>
    </row>
    <row r="19" spans="1:8">
      <c r="A19" s="98"/>
      <c r="B19" s="99"/>
      <c r="C19" s="100"/>
      <c r="D19" s="101" t="s">
        <v>78</v>
      </c>
      <c r="E19" s="164">
        <f>D18+E18</f>
        <v>3214365</v>
      </c>
    </row>
    <row r="20" spans="1:8" ht="16.5" thickBot="1">
      <c r="A20" s="102"/>
      <c r="B20" s="103"/>
      <c r="C20" s="100"/>
      <c r="D20" s="101" t="s">
        <v>79</v>
      </c>
      <c r="E20" s="165">
        <f>E7-E19</f>
        <v>4821548</v>
      </c>
    </row>
    <row r="21" spans="1:8" ht="16.5" thickTop="1">
      <c r="A21" s="98" t="str">
        <f>IF(B7="","","NOTE: "&amp;Data!R52)</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3214365</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3214365</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3214365</v>
      </c>
    </row>
    <row r="39" spans="1:8" ht="16.5" thickBot="1">
      <c r="C39" s="17" t="s">
        <v>95</v>
      </c>
      <c r="D39" s="23">
        <f>D37-E37</f>
        <v>-3160627.8</v>
      </c>
      <c r="E39" s="24"/>
    </row>
    <row r="40" spans="1:8" ht="16.5" thickTop="1"/>
  </sheetData>
  <mergeCells count="4">
    <mergeCell ref="A9:A10"/>
    <mergeCell ref="B9:B10"/>
    <mergeCell ref="C9:C10"/>
    <mergeCell ref="D9:E9"/>
  </mergeCells>
  <hyperlinks>
    <hyperlink ref="A2:E2" location="Data!A1" display="PROJECT   NAME :  RRL PALACIO" xr:uid="{DF05E4EC-02E1-4700-A08F-981362A7DAB3}"/>
  </hyperlinks>
  <pageMargins left="0.7" right="0.7" top="0.75" bottom="0.75" header="0.3" footer="0.3"/>
  <pageSetup paperSize="9" orientation="portrait" horizontalDpi="0"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52B92-35F0-4FB2-AA35-203D37F2EC02}">
  <sheetPr codeName="Sheet54"/>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Data!B53</f>
        <v>SRIDHARAN RATHINAM</v>
      </c>
      <c r="B1" s="91"/>
      <c r="C1" s="91"/>
      <c r="D1" s="91"/>
      <c r="E1" s="92"/>
      <c r="F1" s="6" t="str">
        <f>Data!P53</f>
        <v>HDFC</v>
      </c>
      <c r="G1" s="7"/>
      <c r="H1" s="8" t="str">
        <f>Data!AX53</f>
        <v>Builder</v>
      </c>
    </row>
    <row r="2" spans="1:8">
      <c r="A2" s="111" t="s">
        <v>105</v>
      </c>
      <c r="B2" s="111"/>
      <c r="C2" s="111"/>
      <c r="D2" s="111"/>
      <c r="E2" s="111"/>
      <c r="G2" s="9" t="s">
        <v>56</v>
      </c>
      <c r="H2" s="9" t="s">
        <v>57</v>
      </c>
    </row>
    <row r="3" spans="1:8">
      <c r="A3" s="116" t="s">
        <v>58</v>
      </c>
      <c r="B3" s="207">
        <f>Data!A53</f>
        <v>1602</v>
      </c>
      <c r="C3" s="118" t="s">
        <v>59</v>
      </c>
      <c r="D3" s="119" t="s">
        <v>106</v>
      </c>
      <c r="E3" s="129">
        <f>Data!F53-'1602'!E4</f>
        <v>9867000</v>
      </c>
      <c r="G3" s="10">
        <f>E7-H3</f>
        <v>1554312</v>
      </c>
      <c r="H3" s="10">
        <v>8806038</v>
      </c>
    </row>
    <row r="4" spans="1:8">
      <c r="A4" s="116" t="s">
        <v>60</v>
      </c>
      <c r="B4" s="120" t="str">
        <f>Data!C53</f>
        <v>Tower-1</v>
      </c>
      <c r="C4" s="121" t="s">
        <v>61</v>
      </c>
      <c r="D4" s="122" t="s">
        <v>106</v>
      </c>
      <c r="E4" s="130">
        <f>(Data!F53*5)/105</f>
        <v>493350</v>
      </c>
      <c r="F4" s="7" t="s">
        <v>62</v>
      </c>
      <c r="G4" s="10">
        <f>G3-E18</f>
        <v>518277</v>
      </c>
      <c r="H4" s="10">
        <f>H3-D18</f>
        <v>5697933</v>
      </c>
    </row>
    <row r="5" spans="1:8">
      <c r="A5" s="116" t="s">
        <v>63</v>
      </c>
      <c r="B5" s="123">
        <f>Data!E53</f>
        <v>1495</v>
      </c>
      <c r="C5" s="124" t="s">
        <v>52</v>
      </c>
      <c r="D5" s="125" t="s">
        <v>106</v>
      </c>
      <c r="E5" s="129">
        <f>SUM(E3:E4)</f>
        <v>10360350</v>
      </c>
    </row>
    <row r="6" spans="1:8">
      <c r="A6" s="116" t="s">
        <v>34</v>
      </c>
      <c r="B6" s="123" t="str">
        <f>Data!D53</f>
        <v>3 BHK</v>
      </c>
      <c r="C6" s="80" t="s">
        <v>64</v>
      </c>
      <c r="D6" s="119" t="s">
        <v>106</v>
      </c>
      <c r="E6" s="130">
        <v>0</v>
      </c>
    </row>
    <row r="7" spans="1:8">
      <c r="A7" s="116" t="s">
        <v>65</v>
      </c>
      <c r="B7" s="126" t="str">
        <f>Data!V53</f>
        <v>RRL PAB031</v>
      </c>
      <c r="C7" s="127" t="s">
        <v>66</v>
      </c>
      <c r="D7" s="128" t="s">
        <v>106</v>
      </c>
      <c r="E7" s="131">
        <f>ROUND(SUM(E5:E6),0)</f>
        <v>10360350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2072070</v>
      </c>
      <c r="C11" s="114" t="s">
        <v>836</v>
      </c>
      <c r="D11" s="115">
        <v>0</v>
      </c>
      <c r="E11" s="115">
        <v>200000</v>
      </c>
      <c r="F11" s="4" t="s">
        <v>743</v>
      </c>
    </row>
    <row r="12" spans="1:8">
      <c r="A12" s="112" t="s">
        <v>73</v>
      </c>
      <c r="B12" s="113">
        <f>$E$7*20%</f>
        <v>2072070</v>
      </c>
      <c r="C12" s="114" t="s">
        <v>741</v>
      </c>
      <c r="D12" s="115">
        <v>0</v>
      </c>
      <c r="E12" s="115">
        <v>836035</v>
      </c>
      <c r="F12" s="4" t="s">
        <v>745</v>
      </c>
    </row>
    <row r="13" spans="1:8">
      <c r="A13" s="112" t="s">
        <v>74</v>
      </c>
      <c r="B13" s="113">
        <f>$E$7*20%</f>
        <v>2072070</v>
      </c>
      <c r="C13" s="114" t="s">
        <v>1030</v>
      </c>
      <c r="D13" s="115">
        <v>3108105</v>
      </c>
      <c r="E13" s="115"/>
      <c r="F13" s="11"/>
    </row>
    <row r="14" spans="1:8">
      <c r="A14" s="112" t="s">
        <v>75</v>
      </c>
      <c r="B14" s="113">
        <f>$E$7*15%</f>
        <v>1554052.5</v>
      </c>
      <c r="C14" s="114"/>
      <c r="D14" s="115">
        <v>0</v>
      </c>
      <c r="E14" s="115"/>
      <c r="F14" s="11"/>
    </row>
    <row r="15" spans="1:8">
      <c r="A15" s="112" t="s">
        <v>185</v>
      </c>
      <c r="B15" s="113">
        <f>$E$7*5%</f>
        <v>518017.5</v>
      </c>
      <c r="C15" s="114"/>
      <c r="D15" s="115">
        <v>0</v>
      </c>
      <c r="E15" s="115"/>
      <c r="F15" s="11"/>
    </row>
    <row r="16" spans="1:8">
      <c r="A16" s="112" t="s">
        <v>184</v>
      </c>
      <c r="B16" s="113">
        <f>$E$7*15%</f>
        <v>1554052.5</v>
      </c>
      <c r="C16" s="114"/>
      <c r="D16" s="115">
        <v>0</v>
      </c>
      <c r="E16" s="115"/>
      <c r="F16" s="11"/>
    </row>
    <row r="17" spans="1:8">
      <c r="A17" s="112" t="s">
        <v>76</v>
      </c>
      <c r="B17" s="113">
        <f>$E$7*5%</f>
        <v>518017.5</v>
      </c>
      <c r="C17" s="114"/>
      <c r="D17" s="115">
        <v>0</v>
      </c>
      <c r="E17" s="115"/>
      <c r="F17" s="11"/>
    </row>
    <row r="18" spans="1:8">
      <c r="A18" s="93"/>
      <c r="B18" s="94"/>
      <c r="C18" s="95" t="s">
        <v>77</v>
      </c>
      <c r="D18" s="96">
        <f>SUM(D11:D17)</f>
        <v>3108105</v>
      </c>
      <c r="E18" s="97">
        <f>SUM(E11:E17)</f>
        <v>1036035</v>
      </c>
    </row>
    <row r="19" spans="1:8">
      <c r="A19" s="98"/>
      <c r="B19" s="99"/>
      <c r="C19" s="100"/>
      <c r="D19" s="101" t="s">
        <v>78</v>
      </c>
      <c r="E19" s="164">
        <f>D18+E18</f>
        <v>4144140</v>
      </c>
    </row>
    <row r="20" spans="1:8" ht="16.5" thickBot="1">
      <c r="A20" s="102"/>
      <c r="B20" s="103"/>
      <c r="C20" s="100"/>
      <c r="D20" s="101" t="s">
        <v>79</v>
      </c>
      <c r="E20" s="165">
        <f>E7-E19</f>
        <v>6216210</v>
      </c>
    </row>
    <row r="21" spans="1:8" ht="16.5" thickTop="1">
      <c r="A21" s="98" t="str">
        <f>IF(B7="","","NOTE: "&amp;Data!R53)</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4144140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4144140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4144140</v>
      </c>
    </row>
    <row r="39" spans="1:8" ht="16.5" thickBot="1">
      <c r="C39" s="17" t="s">
        <v>95</v>
      </c>
      <c r="D39" s="23">
        <f>D37-E37</f>
        <v>-4080632.4</v>
      </c>
      <c r="E39" s="24"/>
    </row>
    <row r="40" spans="1:8" ht="16.5" thickTop="1"/>
  </sheetData>
  <mergeCells count="4">
    <mergeCell ref="A9:A10"/>
    <mergeCell ref="B9:B10"/>
    <mergeCell ref="C9:C10"/>
    <mergeCell ref="D9:E9"/>
  </mergeCells>
  <hyperlinks>
    <hyperlink ref="A2:E2" location="Data!A1" display="PROJECT   NAME :  RRL PALACIO" xr:uid="{CE3CAE81-A4B1-4571-A947-E3B4D6DBBB36}"/>
  </hyperlinks>
  <pageMargins left="0.7" right="0.7" top="0.75" bottom="0.75" header="0.3" footer="0.3"/>
  <pageSetup paperSize="9"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F9A86-9B19-4903-9D09-13839982F9FB}">
  <sheetPr codeName="Sheet27"/>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Data!B54</f>
        <v>SRUTHI AND ALAGARSAMY A V N</v>
      </c>
      <c r="B1" s="91"/>
      <c r="C1" s="91"/>
      <c r="D1" s="91"/>
      <c r="E1" s="92"/>
      <c r="F1" s="6">
        <f>Data!P54</f>
        <v>0</v>
      </c>
      <c r="G1" s="7"/>
      <c r="H1" s="8" t="str">
        <f>Data!AX54</f>
        <v>Builder</v>
      </c>
    </row>
    <row r="2" spans="1:8">
      <c r="A2" s="111" t="s">
        <v>105</v>
      </c>
      <c r="B2" s="111"/>
      <c r="C2" s="111"/>
      <c r="D2" s="111"/>
      <c r="E2" s="111"/>
      <c r="G2" s="9" t="s">
        <v>56</v>
      </c>
      <c r="H2" s="9" t="s">
        <v>57</v>
      </c>
    </row>
    <row r="3" spans="1:8">
      <c r="A3" s="116" t="s">
        <v>58</v>
      </c>
      <c r="B3" s="207">
        <f>Data!A54</f>
        <v>1603</v>
      </c>
      <c r="C3" s="118" t="s">
        <v>59</v>
      </c>
      <c r="D3" s="119" t="s">
        <v>106</v>
      </c>
      <c r="E3" s="129">
        <f>Data!F54-'1603'!E4</f>
        <v>11400248.333333334</v>
      </c>
      <c r="G3" s="10">
        <f>E7-H3</f>
        <v>11970261</v>
      </c>
      <c r="H3" s="10"/>
    </row>
    <row r="4" spans="1:8">
      <c r="A4" s="116" t="s">
        <v>60</v>
      </c>
      <c r="B4" s="120" t="str">
        <f>Data!C54</f>
        <v>Tower-1</v>
      </c>
      <c r="C4" s="121" t="s">
        <v>61</v>
      </c>
      <c r="D4" s="122" t="s">
        <v>106</v>
      </c>
      <c r="E4" s="130">
        <f>(Data!F54*5)/105</f>
        <v>570012.41666666663</v>
      </c>
      <c r="F4" s="7" t="s">
        <v>62</v>
      </c>
      <c r="G4" s="10">
        <f>G3-E18</f>
        <v>11770261</v>
      </c>
      <c r="H4" s="10">
        <f>H3-D18</f>
        <v>0</v>
      </c>
    </row>
    <row r="5" spans="1:8">
      <c r="A5" s="116" t="s">
        <v>63</v>
      </c>
      <c r="B5" s="123">
        <f>Data!E54</f>
        <v>1630</v>
      </c>
      <c r="C5" s="124" t="s">
        <v>52</v>
      </c>
      <c r="D5" s="125" t="s">
        <v>106</v>
      </c>
      <c r="E5" s="129">
        <f>SUM(E3:E4)</f>
        <v>11970260.75</v>
      </c>
    </row>
    <row r="6" spans="1:8">
      <c r="A6" s="116" t="s">
        <v>34</v>
      </c>
      <c r="B6" s="123" t="str">
        <f>Data!D54</f>
        <v>3 BHK</v>
      </c>
      <c r="C6" s="80" t="s">
        <v>64</v>
      </c>
      <c r="D6" s="119" t="s">
        <v>106</v>
      </c>
      <c r="E6" s="130">
        <v>0</v>
      </c>
    </row>
    <row r="7" spans="1:8">
      <c r="A7" s="116" t="s">
        <v>65</v>
      </c>
      <c r="B7" s="126" t="str">
        <f>Data!V54</f>
        <v>RRL PAB002</v>
      </c>
      <c r="C7" s="127" t="s">
        <v>66</v>
      </c>
      <c r="D7" s="128" t="s">
        <v>106</v>
      </c>
      <c r="E7" s="131">
        <f>ROUND(SUM(E5:E6),0)</f>
        <v>11970261</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2394052.2000000002</v>
      </c>
      <c r="C11" s="114" t="s">
        <v>357</v>
      </c>
      <c r="D11" s="115">
        <v>0</v>
      </c>
      <c r="E11" s="115">
        <v>200000</v>
      </c>
      <c r="F11" s="4" t="s">
        <v>201</v>
      </c>
    </row>
    <row r="12" spans="1:8">
      <c r="A12" s="112" t="s">
        <v>73</v>
      </c>
      <c r="B12" s="113">
        <f>$E$7*20%</f>
        <v>2394052.2000000002</v>
      </c>
      <c r="C12" s="114" t="s">
        <v>991</v>
      </c>
      <c r="D12" s="115">
        <v>0</v>
      </c>
      <c r="E12" s="115">
        <v>-200000</v>
      </c>
    </row>
    <row r="13" spans="1:8">
      <c r="A13" s="112" t="s">
        <v>74</v>
      </c>
      <c r="B13" s="113">
        <f>$E$7*20%</f>
        <v>2394052.2000000002</v>
      </c>
      <c r="C13" s="114" t="s">
        <v>1008</v>
      </c>
      <c r="D13" s="115">
        <v>0</v>
      </c>
      <c r="E13" s="115">
        <v>90000</v>
      </c>
      <c r="F13" s="4" t="s">
        <v>988</v>
      </c>
    </row>
    <row r="14" spans="1:8">
      <c r="A14" s="112" t="s">
        <v>75</v>
      </c>
      <c r="B14" s="113">
        <f>$E$7*15%</f>
        <v>1795539.15</v>
      </c>
      <c r="C14" s="114" t="s">
        <v>1007</v>
      </c>
      <c r="D14" s="115">
        <v>0</v>
      </c>
      <c r="E14" s="115">
        <v>110000</v>
      </c>
      <c r="F14" s="11"/>
    </row>
    <row r="15" spans="1:8">
      <c r="A15" s="112" t="s">
        <v>185</v>
      </c>
      <c r="B15" s="113">
        <f>$E$7*5%</f>
        <v>598513.05000000005</v>
      </c>
      <c r="C15" s="114"/>
      <c r="D15" s="115">
        <v>0</v>
      </c>
      <c r="E15" s="115"/>
      <c r="F15" s="11"/>
    </row>
    <row r="16" spans="1:8">
      <c r="A16" s="112" t="s">
        <v>184</v>
      </c>
      <c r="B16" s="113">
        <f>$E$7*15%</f>
        <v>1795539.15</v>
      </c>
      <c r="C16" s="114"/>
      <c r="D16" s="115">
        <v>0</v>
      </c>
      <c r="E16" s="115"/>
      <c r="F16" s="11"/>
    </row>
    <row r="17" spans="1:8">
      <c r="A17" s="112" t="s">
        <v>76</v>
      </c>
      <c r="B17" s="113">
        <f>$E$7*5%</f>
        <v>598513.05000000005</v>
      </c>
      <c r="C17" s="114"/>
      <c r="D17" s="115">
        <v>0</v>
      </c>
      <c r="E17" s="115"/>
      <c r="F17" s="11"/>
    </row>
    <row r="18" spans="1:8">
      <c r="A18" s="93"/>
      <c r="B18" s="94"/>
      <c r="C18" s="95" t="s">
        <v>77</v>
      </c>
      <c r="D18" s="96">
        <f>SUM(D11:D17)</f>
        <v>0</v>
      </c>
      <c r="E18" s="97">
        <f>SUM(E11:E17)</f>
        <v>200000</v>
      </c>
    </row>
    <row r="19" spans="1:8">
      <c r="A19" s="98"/>
      <c r="B19" s="99"/>
      <c r="C19" s="100"/>
      <c r="D19" s="101" t="s">
        <v>78</v>
      </c>
      <c r="E19" s="164">
        <f>D18+E18</f>
        <v>200000</v>
      </c>
    </row>
    <row r="20" spans="1:8" ht="16.5" thickBot="1">
      <c r="A20" s="102"/>
      <c r="B20" s="103"/>
      <c r="C20" s="100"/>
      <c r="D20" s="101" t="s">
        <v>79</v>
      </c>
      <c r="E20" s="165">
        <f>E7-E19</f>
        <v>11770261</v>
      </c>
    </row>
    <row r="21" spans="1:8" ht="16.5" thickTop="1">
      <c r="A21" s="98" t="str">
        <f>IF(B7="","","NOTE: "&amp;Data!R54)</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200000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200000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200000</v>
      </c>
    </row>
    <row r="39" spans="1:8" ht="16.5" thickBot="1">
      <c r="C39" s="17" t="s">
        <v>95</v>
      </c>
      <c r="D39" s="23">
        <f>D37-E37</f>
        <v>-130757.6</v>
      </c>
      <c r="E39" s="24"/>
    </row>
    <row r="40" spans="1:8" ht="16.5" thickTop="1"/>
  </sheetData>
  <mergeCells count="4">
    <mergeCell ref="A9:A10"/>
    <mergeCell ref="B9:B10"/>
    <mergeCell ref="C9:C10"/>
    <mergeCell ref="D9:E9"/>
  </mergeCells>
  <hyperlinks>
    <hyperlink ref="A2:E2" location="Data!A1" display="PROJECT   NAME :  RRL PALACIO" xr:uid="{D5740007-EB90-45DE-BB74-8C64BD690501}"/>
  </hyperlinks>
  <pageMargins left="0.7" right="0.7" top="0.75" bottom="0.75" header="0.3" footer="0.3"/>
  <pageSetup paperSize="9" orientation="portrait" horizontalDpi="0"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94B51-0D1A-4EC7-ADA9-8ED610CDE82F}">
  <sheetPr codeName="Sheet36"/>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Data!B56</f>
        <v>DEEPAK N S AND BINDIYA B S</v>
      </c>
      <c r="B1" s="91"/>
      <c r="C1" s="91"/>
      <c r="D1" s="91"/>
      <c r="E1" s="92"/>
      <c r="F1" s="6" t="str">
        <f>Data!P56</f>
        <v>BOB</v>
      </c>
      <c r="G1" s="7"/>
      <c r="H1" s="8" t="str">
        <f>Data!AX56</f>
        <v>Builder</v>
      </c>
    </row>
    <row r="2" spans="1:8">
      <c r="A2" s="111" t="s">
        <v>105</v>
      </c>
      <c r="B2" s="111"/>
      <c r="C2" s="111"/>
      <c r="D2" s="111"/>
      <c r="E2" s="111"/>
      <c r="G2" s="9" t="s">
        <v>56</v>
      </c>
      <c r="H2" s="9" t="s">
        <v>57</v>
      </c>
    </row>
    <row r="3" spans="1:8">
      <c r="A3" s="116" t="s">
        <v>58</v>
      </c>
      <c r="B3" s="207">
        <f>Data!A56</f>
        <v>1605</v>
      </c>
      <c r="C3" s="118" t="s">
        <v>59</v>
      </c>
      <c r="D3" s="119" t="s">
        <v>106</v>
      </c>
      <c r="E3" s="129">
        <f>Data!F56-'1605'!E4</f>
        <v>9135500</v>
      </c>
      <c r="G3" s="10">
        <f>E7-H3</f>
        <v>1230434</v>
      </c>
      <c r="H3" s="10">
        <v>8361841</v>
      </c>
    </row>
    <row r="4" spans="1:8">
      <c r="A4" s="116" t="s">
        <v>60</v>
      </c>
      <c r="B4" s="120" t="str">
        <f>Data!C56</f>
        <v>Tower-1</v>
      </c>
      <c r="C4" s="121" t="s">
        <v>61</v>
      </c>
      <c r="D4" s="122" t="s">
        <v>106</v>
      </c>
      <c r="E4" s="130">
        <f>(Data!F56*5)/105</f>
        <v>456775</v>
      </c>
      <c r="F4" s="7" t="s">
        <v>62</v>
      </c>
      <c r="G4" s="10">
        <f>G3-E18</f>
        <v>750821</v>
      </c>
      <c r="H4" s="10">
        <f>H3-D18</f>
        <v>5383544</v>
      </c>
    </row>
    <row r="5" spans="1:8">
      <c r="A5" s="116" t="s">
        <v>63</v>
      </c>
      <c r="B5" s="123">
        <f>Data!E56</f>
        <v>1510</v>
      </c>
      <c r="C5" s="124" t="s">
        <v>52</v>
      </c>
      <c r="D5" s="125" t="s">
        <v>106</v>
      </c>
      <c r="E5" s="129">
        <f>SUM(E3:E4)</f>
        <v>9592275</v>
      </c>
    </row>
    <row r="6" spans="1:8">
      <c r="A6" s="116" t="s">
        <v>34</v>
      </c>
      <c r="B6" s="123" t="str">
        <f>Data!D56</f>
        <v>3 BHK</v>
      </c>
      <c r="C6" s="80" t="s">
        <v>64</v>
      </c>
      <c r="D6" s="119" t="s">
        <v>106</v>
      </c>
      <c r="E6" s="130">
        <v>0</v>
      </c>
    </row>
    <row r="7" spans="1:8">
      <c r="A7" s="116" t="s">
        <v>65</v>
      </c>
      <c r="B7" s="126" t="str">
        <f>Data!V56</f>
        <v>RRL PAB011</v>
      </c>
      <c r="C7" s="127" t="s">
        <v>66</v>
      </c>
      <c r="D7" s="128" t="s">
        <v>106</v>
      </c>
      <c r="E7" s="131">
        <f>ROUND(SUM(E5:E6),0)</f>
        <v>9592275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1918455</v>
      </c>
      <c r="C11" s="114" t="s">
        <v>276</v>
      </c>
      <c r="D11" s="115">
        <v>0</v>
      </c>
      <c r="E11" s="115">
        <v>200000</v>
      </c>
      <c r="F11" s="4" t="s">
        <v>400</v>
      </c>
    </row>
    <row r="12" spans="1:8">
      <c r="A12" s="112" t="s">
        <v>73</v>
      </c>
      <c r="B12" s="113">
        <f>$E$7*20%</f>
        <v>1918455</v>
      </c>
      <c r="C12" s="114" t="s">
        <v>661</v>
      </c>
      <c r="D12" s="115">
        <v>0</v>
      </c>
      <c r="E12" s="115">
        <v>279613</v>
      </c>
      <c r="F12" s="4" t="s">
        <v>718</v>
      </c>
    </row>
    <row r="13" spans="1:8">
      <c r="A13" s="112" t="s">
        <v>74</v>
      </c>
      <c r="B13" s="113">
        <f>$E$7*20%</f>
        <v>1918455</v>
      </c>
      <c r="C13" s="114" t="s">
        <v>849</v>
      </c>
      <c r="D13" s="115">
        <v>2978297</v>
      </c>
      <c r="E13" s="115"/>
      <c r="F13" s="4" t="s">
        <v>844</v>
      </c>
    </row>
    <row r="14" spans="1:8">
      <c r="A14" s="112" t="s">
        <v>75</v>
      </c>
      <c r="B14" s="113">
        <f>$E$7*15%</f>
        <v>1438841.25</v>
      </c>
      <c r="C14" s="114"/>
      <c r="D14" s="115">
        <v>0</v>
      </c>
      <c r="E14" s="115"/>
      <c r="F14" s="11"/>
    </row>
    <row r="15" spans="1:8">
      <c r="A15" s="112" t="s">
        <v>185</v>
      </c>
      <c r="B15" s="113">
        <f>$E$7*5%</f>
        <v>479613.75</v>
      </c>
      <c r="C15" s="114"/>
      <c r="D15" s="115">
        <v>0</v>
      </c>
      <c r="E15" s="115"/>
      <c r="F15" s="11"/>
    </row>
    <row r="16" spans="1:8">
      <c r="A16" s="112" t="s">
        <v>184</v>
      </c>
      <c r="B16" s="113">
        <f>$E$7*15%</f>
        <v>1438841.25</v>
      </c>
      <c r="C16" s="114"/>
      <c r="D16" s="115">
        <v>0</v>
      </c>
      <c r="E16" s="115"/>
      <c r="F16" s="11"/>
    </row>
    <row r="17" spans="1:8">
      <c r="A17" s="112" t="s">
        <v>76</v>
      </c>
      <c r="B17" s="113">
        <f>$E$7*5%</f>
        <v>479613.75</v>
      </c>
      <c r="C17" s="114"/>
      <c r="D17" s="115">
        <v>0</v>
      </c>
      <c r="E17" s="115"/>
      <c r="F17" s="11"/>
    </row>
    <row r="18" spans="1:8">
      <c r="A18" s="93"/>
      <c r="B18" s="94"/>
      <c r="C18" s="95" t="s">
        <v>77</v>
      </c>
      <c r="D18" s="96">
        <f>SUM(D11:D17)</f>
        <v>2978297</v>
      </c>
      <c r="E18" s="97">
        <f>SUM(E11:E17)</f>
        <v>479613</v>
      </c>
    </row>
    <row r="19" spans="1:8">
      <c r="A19" s="98"/>
      <c r="B19" s="99"/>
      <c r="C19" s="100"/>
      <c r="D19" s="101" t="s">
        <v>78</v>
      </c>
      <c r="E19" s="164">
        <f>D18+E18</f>
        <v>3457910</v>
      </c>
    </row>
    <row r="20" spans="1:8" ht="16.5" thickBot="1">
      <c r="A20" s="102"/>
      <c r="B20" s="103"/>
      <c r="C20" s="100"/>
      <c r="D20" s="101" t="s">
        <v>79</v>
      </c>
      <c r="E20" s="165">
        <f>E7-E19</f>
        <v>6134365</v>
      </c>
    </row>
    <row r="21" spans="1:8" ht="16.5" thickTop="1">
      <c r="A21" s="98" t="str">
        <f>IF(B7="","","NOTE: "&amp;Data!R56)</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3457910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3457910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3457910</v>
      </c>
    </row>
    <row r="39" spans="1:8" ht="16.5" thickBot="1">
      <c r="C39" s="17" t="s">
        <v>95</v>
      </c>
      <c r="D39" s="23">
        <f>D37-E37</f>
        <v>-3393765.2</v>
      </c>
      <c r="E39" s="24"/>
    </row>
    <row r="40" spans="1:8" ht="16.5" thickTop="1"/>
  </sheetData>
  <mergeCells count="4">
    <mergeCell ref="A9:A10"/>
    <mergeCell ref="B9:B10"/>
    <mergeCell ref="C9:C10"/>
    <mergeCell ref="D9:E9"/>
  </mergeCells>
  <hyperlinks>
    <hyperlink ref="A2:E2" location="Data!A1" display="PROJECT   NAME :  RRL PALACIO" xr:uid="{D2277756-AAD9-4BFD-B390-56F6170487D5}"/>
  </hyperlinks>
  <pageMargins left="0.7" right="0.7" top="0.75" bottom="0.75" header="0.3" footer="0.3"/>
  <pageSetup paperSize="9" orientation="portrait" horizontalDpi="0"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7FA3D-B246-422F-A6B9-C3A9F5A1DE78}">
  <sheetPr codeName="Sheet26"/>
  <dimension ref="A1:H45"/>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Data!B57</f>
        <v>SUSHRUT MATHUR</v>
      </c>
      <c r="B1" s="91"/>
      <c r="C1" s="91"/>
      <c r="D1" s="91"/>
      <c r="E1" s="92"/>
      <c r="F1" s="6">
        <f>Data!P57</f>
        <v>0</v>
      </c>
      <c r="G1" s="7"/>
      <c r="H1" s="8" t="str">
        <f>Data!AX57</f>
        <v>Builder</v>
      </c>
    </row>
    <row r="2" spans="1:8">
      <c r="A2" s="111" t="s">
        <v>105</v>
      </c>
      <c r="B2" s="111"/>
      <c r="C2" s="111"/>
      <c r="D2" s="111"/>
      <c r="E2" s="111"/>
      <c r="G2" s="9" t="s">
        <v>56</v>
      </c>
      <c r="H2" s="9" t="s">
        <v>57</v>
      </c>
    </row>
    <row r="3" spans="1:8">
      <c r="A3" s="116" t="s">
        <v>58</v>
      </c>
      <c r="B3" s="206">
        <f>Data!A57</f>
        <v>1701</v>
      </c>
      <c r="C3" s="118" t="s">
        <v>59</v>
      </c>
      <c r="D3" s="119" t="s">
        <v>106</v>
      </c>
      <c r="E3" s="129">
        <f>Data!F57-'1701'!E4</f>
        <v>8222500</v>
      </c>
      <c r="G3" s="10">
        <f>E7-H3</f>
        <v>8633625</v>
      </c>
      <c r="H3" s="10"/>
    </row>
    <row r="4" spans="1:8">
      <c r="A4" s="116" t="s">
        <v>60</v>
      </c>
      <c r="B4" s="120" t="str">
        <f>Data!C57</f>
        <v>Tower-1</v>
      </c>
      <c r="C4" s="121" t="s">
        <v>61</v>
      </c>
      <c r="D4" s="122" t="s">
        <v>106</v>
      </c>
      <c r="E4" s="130">
        <f>(Data!F57*5)/105</f>
        <v>411125</v>
      </c>
      <c r="F4" s="7" t="s">
        <v>62</v>
      </c>
      <c r="G4" s="10">
        <f>G3-E23</f>
        <v>7770262</v>
      </c>
      <c r="H4" s="10">
        <f>H3-D23</f>
        <v>0</v>
      </c>
    </row>
    <row r="5" spans="1:8">
      <c r="A5" s="116" t="s">
        <v>63</v>
      </c>
      <c r="B5" s="123">
        <f>Data!E57</f>
        <v>1265</v>
      </c>
      <c r="C5" s="124" t="s">
        <v>52</v>
      </c>
      <c r="D5" s="125" t="s">
        <v>106</v>
      </c>
      <c r="E5" s="129">
        <f>SUM(E3:E4)</f>
        <v>8633625</v>
      </c>
    </row>
    <row r="6" spans="1:8">
      <c r="A6" s="116" t="s">
        <v>34</v>
      </c>
      <c r="B6" s="123" t="str">
        <f>Data!D57</f>
        <v>2 BHK</v>
      </c>
      <c r="C6" s="80" t="s">
        <v>64</v>
      </c>
      <c r="D6" s="119" t="s">
        <v>106</v>
      </c>
      <c r="E6" s="130">
        <v>0</v>
      </c>
    </row>
    <row r="7" spans="1:8">
      <c r="A7" s="116" t="s">
        <v>65</v>
      </c>
      <c r="B7" s="126" t="str">
        <f>Data!V57</f>
        <v>RRL PAB019</v>
      </c>
      <c r="C7" s="127" t="s">
        <v>66</v>
      </c>
      <c r="D7" s="128" t="s">
        <v>106</v>
      </c>
      <c r="E7" s="131">
        <f>ROUND(SUM(E5:E6),0)</f>
        <v>8633625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1726725</v>
      </c>
      <c r="C11" s="114" t="s">
        <v>356</v>
      </c>
      <c r="D11" s="115">
        <v>0</v>
      </c>
      <c r="E11" s="115"/>
      <c r="F11" s="11"/>
    </row>
    <row r="12" spans="1:8">
      <c r="A12" s="112" t="s">
        <v>73</v>
      </c>
      <c r="B12" s="113">
        <f>$E$7*20%</f>
        <v>1726725</v>
      </c>
      <c r="C12" s="114" t="s">
        <v>409</v>
      </c>
      <c r="D12" s="115">
        <v>0</v>
      </c>
      <c r="E12" s="115">
        <v>50000</v>
      </c>
      <c r="F12" s="4" t="s">
        <v>408</v>
      </c>
    </row>
    <row r="13" spans="1:8">
      <c r="A13" s="112" t="s">
        <v>74</v>
      </c>
      <c r="B13" s="113">
        <f>$E$7*20%</f>
        <v>1726725</v>
      </c>
      <c r="C13" s="114" t="s">
        <v>410</v>
      </c>
      <c r="D13" s="115">
        <v>0</v>
      </c>
      <c r="E13" s="115">
        <v>99000</v>
      </c>
      <c r="F13" s="4" t="s">
        <v>422</v>
      </c>
    </row>
    <row r="14" spans="1:8">
      <c r="A14" s="112" t="s">
        <v>75</v>
      </c>
      <c r="B14" s="113">
        <f>$E$7*15%</f>
        <v>1295043.75</v>
      </c>
      <c r="C14" s="114" t="s">
        <v>425</v>
      </c>
      <c r="D14" s="115">
        <v>0</v>
      </c>
      <c r="E14" s="115">
        <v>51000</v>
      </c>
      <c r="F14" s="4" t="s">
        <v>424</v>
      </c>
    </row>
    <row r="15" spans="1:8">
      <c r="A15" s="112" t="s">
        <v>185</v>
      </c>
      <c r="B15" s="113">
        <f>$E$7*5%</f>
        <v>431681.25</v>
      </c>
      <c r="C15" s="114" t="s">
        <v>946</v>
      </c>
      <c r="D15" s="115">
        <v>0</v>
      </c>
      <c r="E15" s="115">
        <v>1</v>
      </c>
      <c r="F15" s="4" t="s">
        <v>949</v>
      </c>
    </row>
    <row r="16" spans="1:8">
      <c r="A16" s="112" t="s">
        <v>184</v>
      </c>
      <c r="B16" s="113">
        <f>$E$7*15%</f>
        <v>1295043.75</v>
      </c>
      <c r="C16" s="114" t="s">
        <v>950</v>
      </c>
      <c r="D16" s="115">
        <v>0</v>
      </c>
      <c r="E16" s="115">
        <v>99999</v>
      </c>
      <c r="F16" s="4" t="s">
        <v>956</v>
      </c>
    </row>
    <row r="17" spans="1:6">
      <c r="A17" s="112" t="s">
        <v>76</v>
      </c>
      <c r="B17" s="113">
        <f>$E$7*5%</f>
        <v>431681.25</v>
      </c>
      <c r="C17" s="114" t="s">
        <v>951</v>
      </c>
      <c r="D17" s="115">
        <v>0</v>
      </c>
      <c r="E17" s="115">
        <v>99999</v>
      </c>
      <c r="F17" s="4" t="s">
        <v>958</v>
      </c>
    </row>
    <row r="18" spans="1:6">
      <c r="A18" s="112"/>
      <c r="B18" s="113"/>
      <c r="C18" s="114" t="s">
        <v>952</v>
      </c>
      <c r="D18" s="115">
        <v>0</v>
      </c>
      <c r="E18" s="115">
        <v>99999</v>
      </c>
      <c r="F18" s="4" t="s">
        <v>959</v>
      </c>
    </row>
    <row r="19" spans="1:6">
      <c r="A19" s="112"/>
      <c r="B19" s="113"/>
      <c r="C19" s="114" t="s">
        <v>953</v>
      </c>
      <c r="D19" s="115">
        <v>0</v>
      </c>
      <c r="E19" s="115">
        <v>99999</v>
      </c>
      <c r="F19" s="4" t="s">
        <v>960</v>
      </c>
    </row>
    <row r="20" spans="1:6">
      <c r="A20" s="112"/>
      <c r="B20" s="113"/>
      <c r="C20" s="114" t="s">
        <v>954</v>
      </c>
      <c r="D20" s="115">
        <v>0</v>
      </c>
      <c r="E20" s="115">
        <v>99999</v>
      </c>
      <c r="F20" s="4" t="s">
        <v>961</v>
      </c>
    </row>
    <row r="21" spans="1:6">
      <c r="A21" s="112"/>
      <c r="B21" s="113"/>
      <c r="C21" s="114" t="s">
        <v>982</v>
      </c>
      <c r="D21" s="115">
        <v>0</v>
      </c>
      <c r="E21" s="115">
        <v>99999</v>
      </c>
      <c r="F21" s="11" t="s">
        <v>986</v>
      </c>
    </row>
    <row r="22" spans="1:6">
      <c r="A22" s="112"/>
      <c r="B22" s="113"/>
      <c r="C22" s="114" t="s">
        <v>1057</v>
      </c>
      <c r="D22" s="115">
        <v>0</v>
      </c>
      <c r="E22" s="115">
        <v>63368</v>
      </c>
      <c r="F22" s="11"/>
    </row>
    <row r="23" spans="1:6">
      <c r="A23" s="93"/>
      <c r="B23" s="94"/>
      <c r="C23" s="95" t="s">
        <v>77</v>
      </c>
      <c r="D23" s="96">
        <f>SUM(D11:D22)</f>
        <v>0</v>
      </c>
      <c r="E23" s="97">
        <f>SUM(E11:E22)</f>
        <v>863363</v>
      </c>
    </row>
    <row r="24" spans="1:6">
      <c r="A24" s="98"/>
      <c r="B24" s="99"/>
      <c r="C24" s="100"/>
      <c r="D24" s="101" t="s">
        <v>78</v>
      </c>
      <c r="E24" s="164">
        <f>D23+E23</f>
        <v>863363</v>
      </c>
    </row>
    <row r="25" spans="1:6" ht="16.5" thickBot="1">
      <c r="A25" s="102"/>
      <c r="B25" s="103"/>
      <c r="C25" s="100"/>
      <c r="D25" s="101" t="s">
        <v>79</v>
      </c>
      <c r="E25" s="165">
        <f>E7-E24</f>
        <v>7770262</v>
      </c>
    </row>
    <row r="26" spans="1:6" ht="16.5" thickTop="1">
      <c r="A26" s="98" t="str">
        <f>IF(B7="","","NOTE: "&amp;Data!R57)</f>
        <v>NOTE: EXCLUDING GOVERNMENT CHARGES, MAINTENANCE</v>
      </c>
      <c r="B26" s="99"/>
      <c r="C26" s="99"/>
      <c r="D26" s="99"/>
      <c r="E26" s="104"/>
    </row>
    <row r="27" spans="1:6">
      <c r="A27" s="105"/>
      <c r="B27" s="106"/>
      <c r="C27" s="106"/>
      <c r="D27" s="106"/>
      <c r="E27" s="107"/>
    </row>
    <row r="29" spans="1:6">
      <c r="D29" s="13" t="s">
        <v>80</v>
      </c>
      <c r="E29" s="14" t="s">
        <v>81</v>
      </c>
    </row>
    <row r="30" spans="1:6">
      <c r="C30" s="7" t="s">
        <v>82</v>
      </c>
      <c r="E30" s="16">
        <f>E24</f>
        <v>863363</v>
      </c>
    </row>
    <row r="31" spans="1:6">
      <c r="C31" s="7" t="s">
        <v>83</v>
      </c>
      <c r="D31" s="12">
        <v>0</v>
      </c>
      <c r="E31" s="16"/>
    </row>
    <row r="32" spans="1:6">
      <c r="C32" s="17" t="s">
        <v>84</v>
      </c>
      <c r="D32" s="13">
        <f>SUM(D30:D31)</f>
        <v>0</v>
      </c>
      <c r="E32" s="16"/>
    </row>
    <row r="33" spans="1:8" s="15" customFormat="1">
      <c r="A33" s="6"/>
      <c r="B33" s="6"/>
      <c r="C33" s="7" t="s">
        <v>85</v>
      </c>
      <c r="D33" s="12">
        <f>D32*5%</f>
        <v>0</v>
      </c>
      <c r="E33" s="18"/>
      <c r="F33" s="6"/>
      <c r="G33" s="6"/>
      <c r="H33" s="6"/>
    </row>
    <row r="34" spans="1:8" s="15" customFormat="1">
      <c r="A34" s="6"/>
      <c r="B34" s="6"/>
      <c r="C34" s="7" t="s">
        <v>86</v>
      </c>
      <c r="D34" s="19">
        <v>0</v>
      </c>
      <c r="E34" s="20"/>
      <c r="F34" s="6"/>
      <c r="G34" s="6"/>
      <c r="H34" s="6"/>
    </row>
    <row r="35" spans="1:8" s="15" customFormat="1">
      <c r="A35" s="6"/>
      <c r="B35" s="6"/>
      <c r="C35" s="17" t="s">
        <v>87</v>
      </c>
      <c r="D35" s="13">
        <f>D32+D33+D34</f>
        <v>0</v>
      </c>
      <c r="E35" s="14">
        <f>SUM(E30:E34)</f>
        <v>863363</v>
      </c>
      <c r="F35" s="6"/>
      <c r="G35" s="6"/>
      <c r="H35" s="6"/>
    </row>
    <row r="36" spans="1:8" s="15" customFormat="1">
      <c r="A36" s="6"/>
      <c r="B36" s="6"/>
      <c r="C36" s="7" t="s">
        <v>88</v>
      </c>
      <c r="D36" s="12">
        <f>B5*3*12</f>
        <v>45540</v>
      </c>
      <c r="E36" s="16" t="str">
        <f>IF(D36="","Maintenance will be paid to Association","")</f>
        <v/>
      </c>
      <c r="F36" s="6"/>
      <c r="G36" s="6"/>
      <c r="H36" s="6"/>
    </row>
    <row r="37" spans="1:8" s="15" customFormat="1">
      <c r="A37" s="6"/>
      <c r="B37" s="6"/>
      <c r="C37" s="7" t="s">
        <v>89</v>
      </c>
      <c r="D37" s="19">
        <f>IF(D36="","",D36*18%)</f>
        <v>8197.1999999999989</v>
      </c>
      <c r="E37" s="20"/>
      <c r="F37" s="6"/>
      <c r="G37" s="6"/>
      <c r="H37" s="6"/>
    </row>
    <row r="38" spans="1:8" s="15" customFormat="1">
      <c r="A38" s="6"/>
      <c r="B38" s="6"/>
      <c r="C38" s="17" t="s">
        <v>90</v>
      </c>
      <c r="D38" s="13">
        <f>SUM(D36:D37)</f>
        <v>53737.2</v>
      </c>
      <c r="E38" s="14">
        <f>SUM(E36:E37)</f>
        <v>0</v>
      </c>
      <c r="F38" s="6"/>
      <c r="G38" s="6"/>
      <c r="H38" s="6"/>
    </row>
    <row r="39" spans="1:8">
      <c r="C39" s="7" t="s">
        <v>91</v>
      </c>
      <c r="D39" s="12">
        <v>0</v>
      </c>
      <c r="E39" s="16"/>
    </row>
    <row r="40" spans="1:8" s="15" customFormat="1">
      <c r="A40" s="6"/>
      <c r="B40" s="6"/>
      <c r="C40" s="7" t="s">
        <v>92</v>
      </c>
      <c r="D40" s="12"/>
      <c r="E40" s="16"/>
      <c r="F40" s="6"/>
      <c r="G40" s="6"/>
      <c r="H40" s="6"/>
    </row>
    <row r="41" spans="1:8" s="15" customFormat="1">
      <c r="A41" s="6"/>
      <c r="B41" s="6"/>
      <c r="C41" s="7" t="s">
        <v>93</v>
      </c>
      <c r="D41" s="19"/>
      <c r="E41" s="20"/>
      <c r="F41" s="6"/>
      <c r="G41" s="6"/>
      <c r="H41" s="6"/>
    </row>
    <row r="42" spans="1:8">
      <c r="C42" s="17" t="s">
        <v>94</v>
      </c>
      <c r="D42" s="21">
        <f>SUM(D39:D41)+D38+D35</f>
        <v>53737.2</v>
      </c>
      <c r="E42" s="22">
        <f>SUM(E39:E41)+E38+E35</f>
        <v>863363</v>
      </c>
    </row>
    <row r="44" spans="1:8" ht="16.5" thickBot="1">
      <c r="C44" s="17" t="s">
        <v>95</v>
      </c>
      <c r="D44" s="23">
        <f>D42-E42</f>
        <v>-809625.8</v>
      </c>
      <c r="E44" s="24"/>
    </row>
    <row r="45" spans="1:8" ht="16.5" thickTop="1"/>
  </sheetData>
  <mergeCells count="4">
    <mergeCell ref="A9:A10"/>
    <mergeCell ref="B9:B10"/>
    <mergeCell ref="C9:C10"/>
    <mergeCell ref="D9:E9"/>
  </mergeCells>
  <hyperlinks>
    <hyperlink ref="A2:E2" location="Data!A1" display="PROJECT   NAME :  RRL PALACIO" xr:uid="{C4E31601-7C08-4139-992E-7C7EF7BBCB97}"/>
  </hyperlinks>
  <pageMargins left="0.7" right="0.7" top="0.75" bottom="0.75" header="0.3" footer="0.3"/>
  <pageSetup paperSize="9" orientation="portrait" horizontalDpi="0"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40A69-E1D2-463F-8003-BBB0162744AA}">
  <sheetPr codeName="Sheet29"/>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f>Data!B58</f>
        <v>0</v>
      </c>
      <c r="B1" s="91"/>
      <c r="C1" s="91"/>
      <c r="D1" s="91"/>
      <c r="E1" s="92"/>
      <c r="F1" s="6">
        <f>Data!P58</f>
        <v>0</v>
      </c>
      <c r="G1" s="7"/>
      <c r="H1" s="8" t="str">
        <f>Data!AX58</f>
        <v>Builder</v>
      </c>
    </row>
    <row r="2" spans="1:8">
      <c r="A2" s="111" t="s">
        <v>105</v>
      </c>
      <c r="B2" s="111"/>
      <c r="C2" s="111"/>
      <c r="D2" s="111"/>
      <c r="E2" s="111"/>
      <c r="G2" s="9" t="s">
        <v>56</v>
      </c>
      <c r="H2" s="9" t="s">
        <v>57</v>
      </c>
    </row>
    <row r="3" spans="1:8">
      <c r="A3" s="116" t="s">
        <v>58</v>
      </c>
      <c r="B3" s="207">
        <f>Data!A58</f>
        <v>1702</v>
      </c>
      <c r="C3" s="118" t="s">
        <v>59</v>
      </c>
      <c r="D3" s="119" t="s">
        <v>106</v>
      </c>
      <c r="E3" s="129">
        <f>Data!F58-'1702'!E4</f>
        <v>0</v>
      </c>
      <c r="G3" s="10">
        <f>E7-H3</f>
        <v>0</v>
      </c>
      <c r="H3" s="10"/>
    </row>
    <row r="4" spans="1:8">
      <c r="A4" s="116" t="s">
        <v>60</v>
      </c>
      <c r="B4" s="120" t="str">
        <f>Data!C58</f>
        <v>Tower-1</v>
      </c>
      <c r="C4" s="121" t="s">
        <v>61</v>
      </c>
      <c r="D4" s="122" t="s">
        <v>106</v>
      </c>
      <c r="E4" s="130">
        <f>(Data!F58*5)/105</f>
        <v>0</v>
      </c>
      <c r="F4" s="7" t="s">
        <v>62</v>
      </c>
      <c r="G4" s="10">
        <f>G3-E18</f>
        <v>0</v>
      </c>
      <c r="H4" s="10">
        <f>H3-D18</f>
        <v>0</v>
      </c>
    </row>
    <row r="5" spans="1:8">
      <c r="A5" s="116" t="s">
        <v>63</v>
      </c>
      <c r="B5" s="123">
        <f>Data!E58</f>
        <v>1495</v>
      </c>
      <c r="C5" s="124" t="s">
        <v>52</v>
      </c>
      <c r="D5" s="125" t="s">
        <v>106</v>
      </c>
      <c r="E5" s="129">
        <f>SUM(E3:E4)</f>
        <v>0</v>
      </c>
    </row>
    <row r="6" spans="1:8">
      <c r="A6" s="116" t="s">
        <v>34</v>
      </c>
      <c r="B6" s="123" t="str">
        <f>Data!D58</f>
        <v>3 BHK</v>
      </c>
      <c r="C6" s="80" t="s">
        <v>64</v>
      </c>
      <c r="D6" s="119" t="s">
        <v>106</v>
      </c>
      <c r="E6" s="130">
        <v>0</v>
      </c>
    </row>
    <row r="7" spans="1:8">
      <c r="A7" s="116" t="s">
        <v>65</v>
      </c>
      <c r="B7" s="126" t="str">
        <f>Data!V58</f>
        <v>RRL PAB005</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t="s">
        <v>902</v>
      </c>
      <c r="D11" s="115">
        <v>0</v>
      </c>
      <c r="E11" s="115"/>
      <c r="F11" s="11"/>
    </row>
    <row r="12" spans="1:8">
      <c r="A12" s="112" t="s">
        <v>73</v>
      </c>
      <c r="B12" s="113">
        <f>$E$7*20%</f>
        <v>0</v>
      </c>
      <c r="C12" s="114" t="s">
        <v>445</v>
      </c>
      <c r="D12" s="115">
        <v>0</v>
      </c>
      <c r="E12" s="115"/>
    </row>
    <row r="13" spans="1:8">
      <c r="A13" s="112" t="s">
        <v>74</v>
      </c>
      <c r="B13" s="113">
        <f>$E$7*20%</f>
        <v>0</v>
      </c>
      <c r="C13" s="114" t="s">
        <v>901</v>
      </c>
      <c r="D13" s="115">
        <v>0</v>
      </c>
      <c r="E13" s="115">
        <v>80000</v>
      </c>
      <c r="F13" s="4" t="s">
        <v>906</v>
      </c>
    </row>
    <row r="14" spans="1:8">
      <c r="A14" s="112" t="s">
        <v>75</v>
      </c>
      <c r="B14" s="113">
        <f>$E$7*15%</f>
        <v>0</v>
      </c>
      <c r="C14" s="114" t="s">
        <v>905</v>
      </c>
      <c r="D14" s="115">
        <v>0</v>
      </c>
      <c r="E14" s="115">
        <v>20000</v>
      </c>
      <c r="F14" s="4" t="s">
        <v>909</v>
      </c>
    </row>
    <row r="15" spans="1:8">
      <c r="A15" s="112" t="s">
        <v>185</v>
      </c>
      <c r="B15" s="113">
        <f>$E$7*5%</f>
        <v>0</v>
      </c>
      <c r="C15" s="114" t="s">
        <v>978</v>
      </c>
      <c r="D15" s="115">
        <v>0</v>
      </c>
      <c r="E15" s="115">
        <v>-100000</v>
      </c>
      <c r="F15" s="11"/>
    </row>
    <row r="16" spans="1:8">
      <c r="A16" s="112" t="s">
        <v>184</v>
      </c>
      <c r="B16" s="113">
        <f>$E$7*15%</f>
        <v>0</v>
      </c>
      <c r="C16" s="114"/>
      <c r="D16" s="115">
        <v>0</v>
      </c>
      <c r="E16" s="115"/>
      <c r="F16" s="11"/>
    </row>
    <row r="17" spans="1:8">
      <c r="A17" s="112" t="s">
        <v>76</v>
      </c>
      <c r="B17" s="113">
        <f>$E$7*5%</f>
        <v>0</v>
      </c>
      <c r="C17" s="114"/>
      <c r="D17" s="115">
        <v>0</v>
      </c>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"&amp;Data!R58)</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F1E3D88E-0004-410D-8CDE-397DA85A6A34}"/>
  </hyperlinks>
  <pageMargins left="0.7" right="0.7" top="0.75" bottom="0.75" header="0.3" footer="0.3"/>
  <pageSetup paperSize="9" orientation="portrait" horizontalDpi="0" verticalDpi="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35A95-7759-45B1-BF63-60D34079D964}">
  <sheetPr codeName="Sheet48"/>
  <dimension ref="A1:H40"/>
  <sheetViews>
    <sheetView zoomScale="85" zoomScaleNormal="85" workbookViewId="0">
      <selection activeCell="B2" sqref="B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Data!B59</f>
        <v>ARUN KUMAR ROY AND ABHISHEK ROY</v>
      </c>
      <c r="B1" s="91"/>
      <c r="C1" s="91"/>
      <c r="D1" s="91"/>
      <c r="E1" s="92"/>
      <c r="F1" s="6" t="str">
        <f>Data!P59</f>
        <v>TATA CAPITAL</v>
      </c>
      <c r="G1" s="7"/>
      <c r="H1" s="8" t="str">
        <f>Data!AX59</f>
        <v>Builder</v>
      </c>
    </row>
    <row r="2" spans="1:8">
      <c r="A2" s="111" t="s">
        <v>105</v>
      </c>
      <c r="B2" s="111"/>
      <c r="C2" s="111"/>
      <c r="D2" s="111"/>
      <c r="E2" s="111"/>
      <c r="G2" s="9" t="s">
        <v>56</v>
      </c>
      <c r="H2" s="9" t="s">
        <v>57</v>
      </c>
    </row>
    <row r="3" spans="1:8">
      <c r="A3" s="116" t="s">
        <v>58</v>
      </c>
      <c r="B3" s="207">
        <f>Data!A59</f>
        <v>1703</v>
      </c>
      <c r="C3" s="118" t="s">
        <v>59</v>
      </c>
      <c r="D3" s="119" t="s">
        <v>106</v>
      </c>
      <c r="E3" s="129">
        <f>Data!F59-'1703'!E4</f>
        <v>10758000</v>
      </c>
      <c r="G3" s="10">
        <f>E7-H3</f>
        <v>8295900</v>
      </c>
      <c r="H3" s="10">
        <v>3000000</v>
      </c>
    </row>
    <row r="4" spans="1:8">
      <c r="A4" s="116" t="s">
        <v>60</v>
      </c>
      <c r="B4" s="120" t="str">
        <f>Data!C59</f>
        <v>Tower-1</v>
      </c>
      <c r="C4" s="121" t="s">
        <v>61</v>
      </c>
      <c r="D4" s="122" t="s">
        <v>106</v>
      </c>
      <c r="E4" s="130">
        <f>(Data!F59*5)/105</f>
        <v>537900</v>
      </c>
      <c r="F4" s="7" t="s">
        <v>62</v>
      </c>
      <c r="G4" s="10">
        <f>G3-E18</f>
        <v>4907130</v>
      </c>
      <c r="H4" s="10">
        <f>H3-D18</f>
        <v>3000000</v>
      </c>
    </row>
    <row r="5" spans="1:8">
      <c r="A5" s="116" t="s">
        <v>63</v>
      </c>
      <c r="B5" s="123">
        <f>Data!E59</f>
        <v>1630</v>
      </c>
      <c r="C5" s="124" t="s">
        <v>52</v>
      </c>
      <c r="D5" s="125" t="s">
        <v>106</v>
      </c>
      <c r="E5" s="129">
        <f>SUM(E3:E4)</f>
        <v>11295900</v>
      </c>
    </row>
    <row r="6" spans="1:8">
      <c r="A6" s="116" t="s">
        <v>34</v>
      </c>
      <c r="B6" s="123" t="str">
        <f>Data!D59</f>
        <v>3 BHK</v>
      </c>
      <c r="C6" s="80" t="s">
        <v>64</v>
      </c>
      <c r="D6" s="119" t="s">
        <v>106</v>
      </c>
      <c r="E6" s="130">
        <v>0</v>
      </c>
    </row>
    <row r="7" spans="1:8">
      <c r="A7" s="116" t="s">
        <v>65</v>
      </c>
      <c r="B7" s="126" t="str">
        <f>Data!V59</f>
        <v>RRL PAB023</v>
      </c>
      <c r="C7" s="127" t="s">
        <v>66</v>
      </c>
      <c r="D7" s="128" t="s">
        <v>106</v>
      </c>
      <c r="E7" s="131">
        <f>ROUND(SUM(E5:E6),0)</f>
        <v>11295900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2259180</v>
      </c>
      <c r="C11" s="114" t="s">
        <v>435</v>
      </c>
      <c r="D11" s="115">
        <v>0</v>
      </c>
      <c r="E11" s="115"/>
      <c r="F11" s="11"/>
    </row>
    <row r="12" spans="1:8">
      <c r="A12" s="112" t="s">
        <v>73</v>
      </c>
      <c r="B12" s="113">
        <f>$E$7*20%</f>
        <v>2259180</v>
      </c>
      <c r="C12" s="114" t="s">
        <v>436</v>
      </c>
      <c r="D12" s="115">
        <v>0</v>
      </c>
      <c r="E12" s="115">
        <v>50000</v>
      </c>
      <c r="F12" s="4" t="s">
        <v>427</v>
      </c>
    </row>
    <row r="13" spans="1:8">
      <c r="A13" s="112" t="s">
        <v>74</v>
      </c>
      <c r="B13" s="113">
        <f>$E$7*20%</f>
        <v>2259180</v>
      </c>
      <c r="C13" s="114" t="s">
        <v>858</v>
      </c>
      <c r="D13" s="115">
        <v>0</v>
      </c>
      <c r="E13" s="115">
        <v>1079590</v>
      </c>
      <c r="F13" s="4" t="s">
        <v>856</v>
      </c>
    </row>
    <row r="14" spans="1:8">
      <c r="A14" s="112" t="s">
        <v>75</v>
      </c>
      <c r="B14" s="113">
        <f>$E$7*15%</f>
        <v>1694385</v>
      </c>
      <c r="C14" s="114" t="s">
        <v>945</v>
      </c>
      <c r="D14" s="115">
        <v>0</v>
      </c>
      <c r="E14" s="115">
        <v>2259180</v>
      </c>
      <c r="F14" s="4" t="s">
        <v>943</v>
      </c>
    </row>
    <row r="15" spans="1:8">
      <c r="A15" s="112" t="s">
        <v>185</v>
      </c>
      <c r="B15" s="113">
        <f>$E$7*5%</f>
        <v>564795</v>
      </c>
      <c r="C15" s="114"/>
      <c r="D15" s="115">
        <v>0</v>
      </c>
      <c r="E15" s="115"/>
      <c r="F15" s="11"/>
    </row>
    <row r="16" spans="1:8">
      <c r="A16" s="112" t="s">
        <v>184</v>
      </c>
      <c r="B16" s="113">
        <f>$E$7*15%</f>
        <v>1694385</v>
      </c>
      <c r="C16" s="114"/>
      <c r="D16" s="115">
        <v>0</v>
      </c>
      <c r="E16" s="115"/>
      <c r="F16" s="11"/>
    </row>
    <row r="17" spans="1:8">
      <c r="A17" s="112" t="s">
        <v>76</v>
      </c>
      <c r="B17" s="113">
        <f>$E$7*5%</f>
        <v>564795</v>
      </c>
      <c r="C17" s="114"/>
      <c r="D17" s="115">
        <v>0</v>
      </c>
      <c r="E17" s="115"/>
      <c r="F17" s="11"/>
    </row>
    <row r="18" spans="1:8">
      <c r="A18" s="93"/>
      <c r="B18" s="94"/>
      <c r="C18" s="95" t="s">
        <v>77</v>
      </c>
      <c r="D18" s="96">
        <f>SUM(D11:D17)</f>
        <v>0</v>
      </c>
      <c r="E18" s="97">
        <f>SUM(E11:E17)</f>
        <v>3388770</v>
      </c>
    </row>
    <row r="19" spans="1:8">
      <c r="A19" s="98"/>
      <c r="B19" s="99"/>
      <c r="C19" s="100"/>
      <c r="D19" s="101" t="s">
        <v>78</v>
      </c>
      <c r="E19" s="164">
        <f>D18+E18</f>
        <v>3388770</v>
      </c>
    </row>
    <row r="20" spans="1:8" ht="16.5" thickBot="1">
      <c r="A20" s="102"/>
      <c r="B20" s="103"/>
      <c r="C20" s="100"/>
      <c r="D20" s="101" t="s">
        <v>79</v>
      </c>
      <c r="E20" s="165">
        <f>E7-E19</f>
        <v>7907130</v>
      </c>
    </row>
    <row r="21" spans="1:8" ht="16.5" thickTop="1">
      <c r="A21" s="98" t="str">
        <f>IF(B7="","","NOTE: "&amp;Data!R59)</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3388770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3388770</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3388770</v>
      </c>
    </row>
    <row r="39" spans="1:8" ht="16.5" thickBot="1">
      <c r="C39" s="17" t="s">
        <v>95</v>
      </c>
      <c r="D39" s="23">
        <f>D37-E37</f>
        <v>-3319527.6</v>
      </c>
      <c r="E39" s="24"/>
    </row>
    <row r="40" spans="1:8" ht="16.5" thickTop="1"/>
  </sheetData>
  <mergeCells count="4">
    <mergeCell ref="A9:A10"/>
    <mergeCell ref="B9:B10"/>
    <mergeCell ref="C9:C10"/>
    <mergeCell ref="D9:E9"/>
  </mergeCells>
  <hyperlinks>
    <hyperlink ref="A2:E2" location="Data!A1" display="PROJECT   NAME :  RRL PALACIO" xr:uid="{FFB71219-9933-4366-9746-0434F96CC7D1}"/>
  </hyperlinks>
  <pageMargins left="0.7" right="0.7" top="0.75" bottom="0.75" header="0.3" footer="0.3"/>
  <pageSetup paperSize="9"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95E9C-578C-45EE-A604-5277F0E0FA39}">
  <sheetPr codeName="Sheet33"/>
  <dimension ref="A1:H41"/>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Data!B60</f>
        <v>RAJENDRAPILLAI RAGHAVENDRAN</v>
      </c>
      <c r="B1" s="91"/>
      <c r="C1" s="91"/>
      <c r="D1" s="91"/>
      <c r="E1" s="92"/>
      <c r="F1" s="6" t="str">
        <f>Data!P60</f>
        <v>BOB</v>
      </c>
      <c r="G1" s="7"/>
      <c r="H1" s="8" t="str">
        <f>Data!AX60</f>
        <v>Builder</v>
      </c>
    </row>
    <row r="2" spans="1:8">
      <c r="A2" s="111" t="s">
        <v>105</v>
      </c>
      <c r="B2" s="111"/>
      <c r="C2" s="111"/>
      <c r="D2" s="111"/>
      <c r="E2" s="111"/>
      <c r="G2" s="9" t="s">
        <v>56</v>
      </c>
      <c r="H2" s="9" t="s">
        <v>57</v>
      </c>
    </row>
    <row r="3" spans="1:8">
      <c r="A3" s="116" t="s">
        <v>58</v>
      </c>
      <c r="B3" s="207">
        <f>Data!A60</f>
        <v>1704</v>
      </c>
      <c r="C3" s="118" t="s">
        <v>59</v>
      </c>
      <c r="D3" s="119" t="s">
        <v>106</v>
      </c>
      <c r="E3" s="129">
        <f>Data!F60-'1704'!E4</f>
        <v>9438000</v>
      </c>
      <c r="G3" s="10">
        <f>E7-H3</f>
        <v>809900</v>
      </c>
      <c r="H3" s="10">
        <v>9100000</v>
      </c>
    </row>
    <row r="4" spans="1:8">
      <c r="A4" s="116" t="s">
        <v>60</v>
      </c>
      <c r="B4" s="120" t="str">
        <f>Data!C60</f>
        <v>Tower-1</v>
      </c>
      <c r="C4" s="121" t="s">
        <v>61</v>
      </c>
      <c r="D4" s="122" t="s">
        <v>106</v>
      </c>
      <c r="E4" s="130">
        <f>(Data!F60*5)/105</f>
        <v>471900</v>
      </c>
      <c r="F4" s="7" t="s">
        <v>62</v>
      </c>
      <c r="G4" s="10">
        <f>G3-E19</f>
        <v>314405</v>
      </c>
      <c r="H4" s="10">
        <f>H3-D19</f>
        <v>5631535</v>
      </c>
    </row>
    <row r="5" spans="1:8">
      <c r="A5" s="116" t="s">
        <v>63</v>
      </c>
      <c r="B5" s="123">
        <f>Data!E60</f>
        <v>1560</v>
      </c>
      <c r="C5" s="124" t="s">
        <v>52</v>
      </c>
      <c r="D5" s="125" t="s">
        <v>106</v>
      </c>
      <c r="E5" s="129">
        <f>SUM(E3:E4)</f>
        <v>9909900</v>
      </c>
    </row>
    <row r="6" spans="1:8">
      <c r="A6" s="116" t="s">
        <v>34</v>
      </c>
      <c r="B6" s="123" t="str">
        <f>Data!D60</f>
        <v>3 BHK</v>
      </c>
      <c r="C6" s="80" t="s">
        <v>64</v>
      </c>
      <c r="D6" s="119" t="s">
        <v>106</v>
      </c>
      <c r="E6" s="130">
        <v>0</v>
      </c>
    </row>
    <row r="7" spans="1:8">
      <c r="A7" s="116" t="s">
        <v>65</v>
      </c>
      <c r="B7" s="126" t="str">
        <f>Data!V60</f>
        <v>RRL PAB008</v>
      </c>
      <c r="C7" s="127" t="s">
        <v>66</v>
      </c>
      <c r="D7" s="128" t="s">
        <v>106</v>
      </c>
      <c r="E7" s="131">
        <f>ROUND(SUM(E5:E6),0)</f>
        <v>9909900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1981980</v>
      </c>
      <c r="C11" s="114" t="s">
        <v>246</v>
      </c>
      <c r="D11" s="115">
        <v>0</v>
      </c>
      <c r="E11" s="115">
        <v>100000</v>
      </c>
      <c r="F11" s="4" t="s">
        <v>243</v>
      </c>
    </row>
    <row r="12" spans="1:8">
      <c r="A12" s="112" t="s">
        <v>73</v>
      </c>
      <c r="B12" s="113">
        <f>$E$7*20%</f>
        <v>1981980</v>
      </c>
      <c r="C12" s="114" t="s">
        <v>248</v>
      </c>
      <c r="D12" s="115">
        <v>0</v>
      </c>
      <c r="E12" s="115">
        <v>80000</v>
      </c>
      <c r="F12" s="4" t="s">
        <v>711</v>
      </c>
    </row>
    <row r="13" spans="1:8">
      <c r="A13" s="112" t="s">
        <v>74</v>
      </c>
      <c r="B13" s="113">
        <f>$E$7*20%</f>
        <v>1981980</v>
      </c>
      <c r="C13" s="114" t="s">
        <v>249</v>
      </c>
      <c r="D13" s="115">
        <v>0</v>
      </c>
      <c r="E13" s="115">
        <v>20000</v>
      </c>
      <c r="F13" s="4" t="s">
        <v>712</v>
      </c>
    </row>
    <row r="14" spans="1:8">
      <c r="A14" s="112" t="s">
        <v>75</v>
      </c>
      <c r="B14" s="113">
        <f>$E$7*15%</f>
        <v>1486485</v>
      </c>
      <c r="C14" s="114" t="s">
        <v>702</v>
      </c>
      <c r="D14" s="115">
        <v>0</v>
      </c>
      <c r="E14" s="115">
        <v>100000</v>
      </c>
      <c r="F14" s="4" t="s">
        <v>714</v>
      </c>
    </row>
    <row r="15" spans="1:8">
      <c r="A15" s="112" t="s">
        <v>185</v>
      </c>
      <c r="B15" s="113">
        <f>$E$7*5%</f>
        <v>495495</v>
      </c>
      <c r="C15" s="114" t="s">
        <v>704</v>
      </c>
      <c r="D15" s="115">
        <v>0</v>
      </c>
      <c r="E15" s="115">
        <v>100000</v>
      </c>
      <c r="F15" s="4" t="s">
        <v>715</v>
      </c>
    </row>
    <row r="16" spans="1:8">
      <c r="A16" s="112" t="s">
        <v>184</v>
      </c>
      <c r="B16" s="113">
        <f>$E$7*15%</f>
        <v>1486485</v>
      </c>
      <c r="C16" s="114" t="s">
        <v>719</v>
      </c>
      <c r="D16" s="115">
        <v>0</v>
      </c>
      <c r="E16" s="115">
        <v>95495</v>
      </c>
      <c r="F16" s="4" t="s">
        <v>740</v>
      </c>
    </row>
    <row r="17" spans="1:8">
      <c r="A17" s="112" t="s">
        <v>76</v>
      </c>
      <c r="B17" s="113">
        <f>$E$7*5%</f>
        <v>495495</v>
      </c>
      <c r="C17" s="114" t="s">
        <v>1060</v>
      </c>
      <c r="D17" s="115">
        <v>3468465</v>
      </c>
      <c r="E17" s="115"/>
      <c r="F17" s="11"/>
    </row>
    <row r="18" spans="1:8">
      <c r="A18" s="112"/>
      <c r="B18" s="113"/>
      <c r="C18" s="114"/>
      <c r="D18" s="115">
        <v>0</v>
      </c>
      <c r="E18" s="115"/>
      <c r="F18" s="11"/>
    </row>
    <row r="19" spans="1:8">
      <c r="A19" s="93"/>
      <c r="B19" s="94"/>
      <c r="C19" s="95" t="s">
        <v>77</v>
      </c>
      <c r="D19" s="96">
        <f>SUM(D11:D18)</f>
        <v>3468465</v>
      </c>
      <c r="E19" s="97">
        <f>SUM(E11:E18)</f>
        <v>495495</v>
      </c>
    </row>
    <row r="20" spans="1:8">
      <c r="A20" s="98"/>
      <c r="B20" s="99"/>
      <c r="C20" s="100"/>
      <c r="D20" s="101" t="s">
        <v>78</v>
      </c>
      <c r="E20" s="164">
        <f>D19+E19</f>
        <v>3963960</v>
      </c>
    </row>
    <row r="21" spans="1:8" ht="16.5" thickBot="1">
      <c r="A21" s="102"/>
      <c r="B21" s="103"/>
      <c r="C21" s="100"/>
      <c r="D21" s="101" t="s">
        <v>79</v>
      </c>
      <c r="E21" s="165">
        <f>E7-E20</f>
        <v>5945940</v>
      </c>
    </row>
    <row r="22" spans="1:8" ht="16.5" thickTop="1">
      <c r="A22" s="98" t="str">
        <f>IF(B7="","","NOTE: "&amp;Data!R60)</f>
        <v>NOTE: EXCLUDING GOVERNMENT CHARGES, MAINTENANCE</v>
      </c>
      <c r="B22" s="99"/>
      <c r="C22" s="99"/>
      <c r="D22" s="99"/>
      <c r="E22" s="104"/>
    </row>
    <row r="23" spans="1:8">
      <c r="A23" s="105"/>
      <c r="B23" s="106"/>
      <c r="C23" s="106"/>
      <c r="D23" s="106"/>
      <c r="E23" s="107"/>
    </row>
    <row r="25" spans="1:8">
      <c r="D25" s="13" t="s">
        <v>80</v>
      </c>
      <c r="E25" s="14" t="s">
        <v>81</v>
      </c>
    </row>
    <row r="26" spans="1:8">
      <c r="C26" s="7" t="s">
        <v>82</v>
      </c>
      <c r="E26" s="16">
        <f>E20</f>
        <v>3963960</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3963960</v>
      </c>
      <c r="F31" s="6"/>
      <c r="G31" s="6"/>
      <c r="H31" s="6"/>
    </row>
    <row r="32" spans="1:8" s="15" customFormat="1">
      <c r="A32" s="6"/>
      <c r="B32" s="6"/>
      <c r="C32" s="7" t="s">
        <v>88</v>
      </c>
      <c r="D32" s="12">
        <f>B5*3*12</f>
        <v>56160</v>
      </c>
      <c r="E32" s="16" t="str">
        <f>IF(D32="","Maintenance will be paid to Association","")</f>
        <v/>
      </c>
      <c r="F32" s="6"/>
      <c r="G32" s="6"/>
      <c r="H32" s="6"/>
    </row>
    <row r="33" spans="1:8" s="15" customFormat="1">
      <c r="A33" s="6"/>
      <c r="B33" s="6"/>
      <c r="C33" s="7" t="s">
        <v>89</v>
      </c>
      <c r="D33" s="19">
        <f>IF(D32="","",D32*18%)</f>
        <v>10108.799999999999</v>
      </c>
      <c r="E33" s="20"/>
      <c r="F33" s="6"/>
      <c r="G33" s="6"/>
      <c r="H33" s="6"/>
    </row>
    <row r="34" spans="1:8" s="15" customFormat="1">
      <c r="A34" s="6"/>
      <c r="B34" s="6"/>
      <c r="C34" s="17" t="s">
        <v>90</v>
      </c>
      <c r="D34" s="13">
        <f>SUM(D32:D33)</f>
        <v>66268.800000000003</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66268.800000000003</v>
      </c>
      <c r="E38" s="22">
        <f>SUM(E35:E37)+E34+E31</f>
        <v>3963960</v>
      </c>
    </row>
    <row r="40" spans="1:8" ht="16.5" thickBot="1">
      <c r="C40" s="17" t="s">
        <v>95</v>
      </c>
      <c r="D40" s="23">
        <f>D38-E38</f>
        <v>-3897691.2</v>
      </c>
      <c r="E40" s="24"/>
    </row>
    <row r="41" spans="1:8" ht="16.5" thickTop="1"/>
  </sheetData>
  <mergeCells count="4">
    <mergeCell ref="A9:A10"/>
    <mergeCell ref="B9:B10"/>
    <mergeCell ref="C9:C10"/>
    <mergeCell ref="D9:E9"/>
  </mergeCells>
  <hyperlinks>
    <hyperlink ref="A2:E2" location="Data!A1" display="PROJECT   NAME :  RRL PALACIO" xr:uid="{444414AF-75D5-43EA-BC8A-FEAB04987EAF}"/>
  </hyperlinks>
  <pageMargins left="0.7" right="0.7" top="0.75" bottom="0.75" header="0.3" footer="0.3"/>
  <pageSetup paperSize="9" orientation="portrait" horizontalDpi="0"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FEA82-167F-4E48-8B13-ECC24D77459D}">
  <sheetPr codeName="Sheet56"/>
  <dimension ref="A1:H41"/>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69.7109375" style="6" customWidth="1"/>
    <col min="4" max="4" width="16.42578125" style="12" customWidth="1"/>
    <col min="5" max="5" width="18.42578125" style="12" customWidth="1"/>
    <col min="6" max="6" width="5.7109375" style="6" customWidth="1"/>
    <col min="7" max="7" width="11.5703125" style="6" bestFit="1" customWidth="1"/>
    <col min="8" max="8" width="9.85546875" style="6" bestFit="1" customWidth="1"/>
    <col min="9" max="16384" width="11.42578125" style="6"/>
  </cols>
  <sheetData>
    <row r="1" spans="1:8">
      <c r="A1" s="166" t="str">
        <f>Data!B61</f>
        <v>PRASADARAJU YARAKARAJU AND CHAITANYA LAKSHMI RAMYA KUCHARLAPATI</v>
      </c>
      <c r="B1" s="91"/>
      <c r="C1" s="91"/>
      <c r="D1" s="91"/>
      <c r="E1" s="92"/>
      <c r="F1" s="6">
        <f>Data!P61</f>
        <v>0</v>
      </c>
      <c r="G1" s="7"/>
      <c r="H1" s="8" t="str">
        <f>Data!AX61</f>
        <v>Builder</v>
      </c>
    </row>
    <row r="2" spans="1:8">
      <c r="A2" s="111" t="s">
        <v>105</v>
      </c>
      <c r="B2" s="111"/>
      <c r="C2" s="111"/>
      <c r="D2" s="111"/>
      <c r="E2" s="111"/>
      <c r="G2" s="9" t="s">
        <v>56</v>
      </c>
      <c r="H2" s="9" t="s">
        <v>57</v>
      </c>
    </row>
    <row r="3" spans="1:8">
      <c r="A3" s="116" t="s">
        <v>58</v>
      </c>
      <c r="B3" s="207">
        <f>Data!A61</f>
        <v>1705</v>
      </c>
      <c r="C3" s="118" t="s">
        <v>59</v>
      </c>
      <c r="D3" s="119" t="s">
        <v>106</v>
      </c>
      <c r="E3" s="129">
        <f>Data!F61-'1705'!E4</f>
        <v>10412456.666666666</v>
      </c>
      <c r="G3" s="10">
        <f>E7-H3</f>
        <v>10933080</v>
      </c>
      <c r="H3" s="10"/>
    </row>
    <row r="4" spans="1:8">
      <c r="A4" s="116" t="s">
        <v>60</v>
      </c>
      <c r="B4" s="120" t="str">
        <f>Data!C61</f>
        <v>Tower-1</v>
      </c>
      <c r="C4" s="121" t="s">
        <v>61</v>
      </c>
      <c r="D4" s="122" t="s">
        <v>106</v>
      </c>
      <c r="E4" s="130">
        <f>(Data!F61*5)/105</f>
        <v>520622.83333333331</v>
      </c>
      <c r="F4" s="7" t="s">
        <v>62</v>
      </c>
      <c r="G4" s="10">
        <f>G3-E19</f>
        <v>9850695</v>
      </c>
      <c r="H4" s="10">
        <f>H3-D19</f>
        <v>0</v>
      </c>
    </row>
    <row r="5" spans="1:8">
      <c r="A5" s="116" t="s">
        <v>63</v>
      </c>
      <c r="B5" s="123">
        <f>Data!E61</f>
        <v>1510</v>
      </c>
      <c r="C5" s="124" t="s">
        <v>52</v>
      </c>
      <c r="D5" s="125" t="s">
        <v>106</v>
      </c>
      <c r="E5" s="129">
        <f>SUM(E3:E4)</f>
        <v>10933079.5</v>
      </c>
    </row>
    <row r="6" spans="1:8">
      <c r="A6" s="116" t="s">
        <v>34</v>
      </c>
      <c r="B6" s="123" t="str">
        <f>Data!D61</f>
        <v>3 BHK</v>
      </c>
      <c r="C6" s="80" t="s">
        <v>64</v>
      </c>
      <c r="D6" s="119" t="s">
        <v>106</v>
      </c>
      <c r="E6" s="130">
        <v>0</v>
      </c>
    </row>
    <row r="7" spans="1:8">
      <c r="A7" s="116" t="s">
        <v>65</v>
      </c>
      <c r="B7" s="126">
        <f>Data!V61</f>
        <v>0</v>
      </c>
      <c r="C7" s="127" t="s">
        <v>66</v>
      </c>
      <c r="D7" s="128" t="s">
        <v>106</v>
      </c>
      <c r="E7" s="131">
        <f>ROUND(SUM(E5:E6),0)</f>
        <v>10933080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2186616</v>
      </c>
      <c r="C11" s="114" t="s">
        <v>992</v>
      </c>
      <c r="D11" s="115">
        <v>0</v>
      </c>
      <c r="E11" s="115">
        <v>100000</v>
      </c>
      <c r="F11" s="4"/>
    </row>
    <row r="12" spans="1:8">
      <c r="A12" s="112" t="s">
        <v>73</v>
      </c>
      <c r="B12" s="113">
        <f>$E$7*20%</f>
        <v>2186616</v>
      </c>
      <c r="C12" s="114" t="s">
        <v>993</v>
      </c>
      <c r="D12" s="115">
        <v>0</v>
      </c>
      <c r="E12" s="115">
        <v>100000</v>
      </c>
      <c r="F12" s="4"/>
    </row>
    <row r="13" spans="1:8">
      <c r="A13" s="112" t="s">
        <v>74</v>
      </c>
      <c r="B13" s="113">
        <f>$E$7*20%</f>
        <v>2186616</v>
      </c>
      <c r="C13" s="114" t="s">
        <v>1023</v>
      </c>
      <c r="D13" s="115">
        <v>0</v>
      </c>
      <c r="E13" s="115">
        <v>10</v>
      </c>
      <c r="F13" s="4"/>
    </row>
    <row r="14" spans="1:8">
      <c r="A14" s="112" t="s">
        <v>75</v>
      </c>
      <c r="B14" s="113">
        <f>$E$7*15%</f>
        <v>1639962</v>
      </c>
      <c r="C14" s="114" t="s">
        <v>1002</v>
      </c>
      <c r="D14" s="115">
        <v>0</v>
      </c>
      <c r="E14" s="115">
        <v>882375</v>
      </c>
      <c r="F14" s="4"/>
    </row>
    <row r="15" spans="1:8">
      <c r="A15" s="112" t="s">
        <v>185</v>
      </c>
      <c r="B15" s="113">
        <f>$E$7*5%</f>
        <v>546654</v>
      </c>
      <c r="C15" s="114"/>
      <c r="D15" s="115">
        <v>0</v>
      </c>
      <c r="E15" s="115"/>
      <c r="F15" s="4"/>
    </row>
    <row r="16" spans="1:8">
      <c r="A16" s="112" t="s">
        <v>184</v>
      </c>
      <c r="B16" s="113">
        <f>$E$7*15%</f>
        <v>1639962</v>
      </c>
      <c r="C16" s="114"/>
      <c r="D16" s="115">
        <v>0</v>
      </c>
      <c r="E16" s="115"/>
      <c r="F16" s="4"/>
    </row>
    <row r="17" spans="1:8">
      <c r="A17" s="112" t="s">
        <v>76</v>
      </c>
      <c r="B17" s="113">
        <f>$E$7*5%</f>
        <v>546654</v>
      </c>
      <c r="C17" s="114"/>
      <c r="D17" s="115">
        <v>0</v>
      </c>
      <c r="E17" s="115"/>
      <c r="F17" s="11"/>
    </row>
    <row r="18" spans="1:8">
      <c r="A18" s="112"/>
      <c r="B18" s="113"/>
      <c r="C18" s="114"/>
      <c r="D18" s="115">
        <v>0</v>
      </c>
      <c r="E18" s="115"/>
      <c r="F18" s="11"/>
    </row>
    <row r="19" spans="1:8">
      <c r="A19" s="93"/>
      <c r="B19" s="94"/>
      <c r="C19" s="95" t="s">
        <v>77</v>
      </c>
      <c r="D19" s="96">
        <f>SUM(D11:D18)</f>
        <v>0</v>
      </c>
      <c r="E19" s="97">
        <f>SUM(E11:E18)</f>
        <v>1082385</v>
      </c>
    </row>
    <row r="20" spans="1:8">
      <c r="A20" s="98"/>
      <c r="B20" s="99"/>
      <c r="C20" s="100"/>
      <c r="D20" s="101" t="s">
        <v>78</v>
      </c>
      <c r="E20" s="164">
        <f>D19+E19</f>
        <v>1082385</v>
      </c>
    </row>
    <row r="21" spans="1:8" ht="16.5" thickBot="1">
      <c r="A21" s="102"/>
      <c r="B21" s="103"/>
      <c r="C21" s="100"/>
      <c r="D21" s="101" t="s">
        <v>79</v>
      </c>
      <c r="E21" s="165">
        <f>E7-E20</f>
        <v>9850695</v>
      </c>
    </row>
    <row r="22" spans="1:8" ht="16.5" thickTop="1">
      <c r="A22" s="98" t="str">
        <f>IF(B7="","","NOTE: "&amp;Data!R61)</f>
        <v xml:space="preserve">NOTE: </v>
      </c>
      <c r="B22" s="99"/>
      <c r="C22" s="99"/>
      <c r="D22" s="99"/>
      <c r="E22" s="104"/>
    </row>
    <row r="23" spans="1:8">
      <c r="A23" s="105"/>
      <c r="B23" s="106"/>
      <c r="C23" s="106"/>
      <c r="D23" s="106"/>
      <c r="E23" s="107"/>
    </row>
    <row r="25" spans="1:8">
      <c r="D25" s="13" t="s">
        <v>80</v>
      </c>
      <c r="E25" s="14" t="s">
        <v>81</v>
      </c>
    </row>
    <row r="26" spans="1:8">
      <c r="C26" s="7" t="s">
        <v>82</v>
      </c>
      <c r="E26" s="16">
        <f>E20</f>
        <v>1082385</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1082385</v>
      </c>
      <c r="F31" s="6"/>
      <c r="G31" s="6"/>
      <c r="H31" s="6"/>
    </row>
    <row r="32" spans="1:8" s="15" customFormat="1">
      <c r="A32" s="6"/>
      <c r="B32" s="6"/>
      <c r="C32" s="7" t="s">
        <v>88</v>
      </c>
      <c r="D32" s="12">
        <f>B5*3*12</f>
        <v>54360</v>
      </c>
      <c r="E32" s="16" t="str">
        <f>IF(D32="","Maintenance will be paid to Association","")</f>
        <v/>
      </c>
      <c r="F32" s="6"/>
      <c r="G32" s="6"/>
      <c r="H32" s="6"/>
    </row>
    <row r="33" spans="1:8" s="15" customFormat="1">
      <c r="A33" s="6"/>
      <c r="B33" s="6"/>
      <c r="C33" s="7" t="s">
        <v>89</v>
      </c>
      <c r="D33" s="19">
        <f>IF(D32="","",D32*18%)</f>
        <v>9784.7999999999993</v>
      </c>
      <c r="E33" s="20"/>
      <c r="F33" s="6"/>
      <c r="G33" s="6"/>
      <c r="H33" s="6"/>
    </row>
    <row r="34" spans="1:8" s="15" customFormat="1">
      <c r="A34" s="6"/>
      <c r="B34" s="6"/>
      <c r="C34" s="17" t="s">
        <v>90</v>
      </c>
      <c r="D34" s="13">
        <f>SUM(D32:D33)</f>
        <v>64144.800000000003</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64144.800000000003</v>
      </c>
      <c r="E38" s="22">
        <f>SUM(E35:E37)+E34+E31</f>
        <v>1082385</v>
      </c>
    </row>
    <row r="40" spans="1:8" ht="16.5" thickBot="1">
      <c r="C40" s="17" t="s">
        <v>95</v>
      </c>
      <c r="D40" s="23">
        <f>D38-E38</f>
        <v>-1018240.2</v>
      </c>
      <c r="E40" s="24"/>
    </row>
    <row r="41" spans="1:8" ht="16.5" thickTop="1"/>
  </sheetData>
  <mergeCells count="4">
    <mergeCell ref="A9:A10"/>
    <mergeCell ref="B9:B10"/>
    <mergeCell ref="C9:C10"/>
    <mergeCell ref="D9:E9"/>
  </mergeCells>
  <hyperlinks>
    <hyperlink ref="A2:E2" location="Data!A1" display="PROJECT   NAME :  RRL PALACIO" xr:uid="{96A6CB36-49EF-4420-80C1-30B8E0E4B4B1}"/>
  </hyperlinks>
  <pageMargins left="0.7" right="0.7" top="0.75" bottom="0.75" header="0.3" footer="0.3"/>
  <pageSetup paperSize="9"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82D2F-74A3-4EC2-B500-92A2A02C6B70}">
  <sheetPr codeName="Sheet35"/>
  <dimension ref="A1:H40"/>
  <sheetViews>
    <sheetView topLeftCell="B1"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Data!B62</f>
        <v>D S HEMALATHA AND R VIJAYENDRAN</v>
      </c>
      <c r="B1" s="91"/>
      <c r="C1" s="91"/>
      <c r="D1" s="91"/>
      <c r="E1" s="92"/>
      <c r="F1" s="6" t="str">
        <f>Data!P62</f>
        <v>SBI</v>
      </c>
      <c r="G1" s="7"/>
      <c r="H1" s="8" t="str">
        <f>Data!AX62</f>
        <v>Builder</v>
      </c>
    </row>
    <row r="2" spans="1:8">
      <c r="A2" s="111" t="s">
        <v>105</v>
      </c>
      <c r="B2" s="111"/>
      <c r="C2" s="111"/>
      <c r="D2" s="111"/>
      <c r="E2" s="111"/>
      <c r="G2" s="9" t="s">
        <v>56</v>
      </c>
      <c r="H2" s="9" t="s">
        <v>57</v>
      </c>
    </row>
    <row r="3" spans="1:8">
      <c r="A3" s="116" t="s">
        <v>58</v>
      </c>
      <c r="B3" s="207">
        <f>Data!A62</f>
        <v>2001</v>
      </c>
      <c r="C3" s="118" t="s">
        <v>59</v>
      </c>
      <c r="D3" s="119" t="s">
        <v>106</v>
      </c>
      <c r="E3" s="129">
        <f>Data!F62-'2001'!E4</f>
        <v>7653250</v>
      </c>
      <c r="G3" s="10">
        <f>E7-H3</f>
        <v>1035913</v>
      </c>
      <c r="H3" s="10">
        <v>7000000</v>
      </c>
    </row>
    <row r="4" spans="1:8">
      <c r="A4" s="116" t="s">
        <v>60</v>
      </c>
      <c r="B4" s="120" t="str">
        <f>Data!C62</f>
        <v>Tower-1</v>
      </c>
      <c r="C4" s="121" t="s">
        <v>61</v>
      </c>
      <c r="D4" s="122" t="s">
        <v>106</v>
      </c>
      <c r="E4" s="130">
        <f>(Data!F62*5)/105</f>
        <v>382662.5</v>
      </c>
      <c r="F4" s="7" t="s">
        <v>62</v>
      </c>
      <c r="G4" s="10">
        <f>G3-E18</f>
        <v>534118</v>
      </c>
      <c r="H4" s="10">
        <f>H3-D18</f>
        <v>7000000</v>
      </c>
    </row>
    <row r="5" spans="1:8">
      <c r="A5" s="116" t="s">
        <v>63</v>
      </c>
      <c r="B5" s="123">
        <f>Data!E62</f>
        <v>1265</v>
      </c>
      <c r="C5" s="124" t="s">
        <v>52</v>
      </c>
      <c r="D5" s="125" t="s">
        <v>106</v>
      </c>
      <c r="E5" s="129">
        <f>SUM(E3:E4)</f>
        <v>8035912.5</v>
      </c>
    </row>
    <row r="6" spans="1:8">
      <c r="A6" s="116" t="s">
        <v>34</v>
      </c>
      <c r="B6" s="123" t="str">
        <f>Data!D62</f>
        <v>2 BHK</v>
      </c>
      <c r="C6" s="80" t="s">
        <v>64</v>
      </c>
      <c r="D6" s="119" t="s">
        <v>106</v>
      </c>
      <c r="E6" s="130">
        <v>0</v>
      </c>
    </row>
    <row r="7" spans="1:8">
      <c r="A7" s="116" t="s">
        <v>65</v>
      </c>
      <c r="B7" s="126" t="str">
        <f>Data!V62</f>
        <v>RRL PAB009</v>
      </c>
      <c r="C7" s="127" t="s">
        <v>66</v>
      </c>
      <c r="D7" s="128" t="s">
        <v>106</v>
      </c>
      <c r="E7" s="131">
        <f>ROUND(SUM(E5:E6),0)</f>
        <v>8035913</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1607182.6</v>
      </c>
      <c r="C11" s="114" t="s">
        <v>248</v>
      </c>
      <c r="D11" s="115">
        <v>0</v>
      </c>
      <c r="E11" s="115">
        <v>80000</v>
      </c>
      <c r="F11" s="4" t="s">
        <v>360</v>
      </c>
    </row>
    <row r="12" spans="1:8">
      <c r="A12" s="112" t="s">
        <v>73</v>
      </c>
      <c r="B12" s="113">
        <f>$E$7*20%</f>
        <v>1607182.6</v>
      </c>
      <c r="C12" s="114" t="s">
        <v>249</v>
      </c>
      <c r="D12" s="115">
        <v>0</v>
      </c>
      <c r="E12" s="115">
        <v>20000</v>
      </c>
      <c r="F12" s="4" t="s">
        <v>361</v>
      </c>
    </row>
    <row r="13" spans="1:8">
      <c r="A13" s="112" t="s">
        <v>74</v>
      </c>
      <c r="B13" s="113">
        <f>$E$7*20%</f>
        <v>1607182.6</v>
      </c>
      <c r="C13" s="114" t="s">
        <v>657</v>
      </c>
      <c r="D13" s="115">
        <v>0</v>
      </c>
      <c r="E13" s="115">
        <v>401795</v>
      </c>
      <c r="F13" s="11"/>
    </row>
    <row r="14" spans="1:8">
      <c r="A14" s="112" t="s">
        <v>75</v>
      </c>
      <c r="B14" s="113">
        <f>$E$7*15%</f>
        <v>1205386.95</v>
      </c>
      <c r="C14" s="114"/>
      <c r="D14" s="115">
        <v>0</v>
      </c>
      <c r="E14" s="115"/>
      <c r="F14" s="11"/>
    </row>
    <row r="15" spans="1:8">
      <c r="A15" s="112" t="s">
        <v>185</v>
      </c>
      <c r="B15" s="113">
        <f>$E$7*5%</f>
        <v>401795.65</v>
      </c>
      <c r="C15" s="114"/>
      <c r="D15" s="115">
        <v>0</v>
      </c>
      <c r="E15" s="115"/>
      <c r="F15" s="11"/>
    </row>
    <row r="16" spans="1:8">
      <c r="A16" s="112" t="s">
        <v>184</v>
      </c>
      <c r="B16" s="113">
        <f>$E$7*15%</f>
        <v>1205386.95</v>
      </c>
      <c r="C16" s="114"/>
      <c r="D16" s="115">
        <v>0</v>
      </c>
      <c r="E16" s="115"/>
      <c r="F16" s="11"/>
    </row>
    <row r="17" spans="1:8">
      <c r="A17" s="112" t="s">
        <v>76</v>
      </c>
      <c r="B17" s="113">
        <f>$E$7*5%</f>
        <v>401795.65</v>
      </c>
      <c r="C17" s="114"/>
      <c r="D17" s="115">
        <v>0</v>
      </c>
      <c r="E17" s="115"/>
      <c r="F17" s="11"/>
    </row>
    <row r="18" spans="1:8">
      <c r="A18" s="93"/>
      <c r="B18" s="94"/>
      <c r="C18" s="95" t="s">
        <v>77</v>
      </c>
      <c r="D18" s="96">
        <f>SUM(D11:D17)</f>
        <v>0</v>
      </c>
      <c r="E18" s="97">
        <f>SUM(E11:E17)</f>
        <v>501795</v>
      </c>
    </row>
    <row r="19" spans="1:8">
      <c r="A19" s="98"/>
      <c r="B19" s="99"/>
      <c r="C19" s="100"/>
      <c r="D19" s="101" t="s">
        <v>78</v>
      </c>
      <c r="E19" s="164">
        <f>D18+E18</f>
        <v>501795</v>
      </c>
    </row>
    <row r="20" spans="1:8" ht="16.5" thickBot="1">
      <c r="A20" s="102"/>
      <c r="B20" s="103"/>
      <c r="C20" s="100"/>
      <c r="D20" s="101" t="s">
        <v>79</v>
      </c>
      <c r="E20" s="165">
        <f>E7-E19</f>
        <v>7534118</v>
      </c>
    </row>
    <row r="21" spans="1:8" ht="16.5" thickTop="1">
      <c r="A21" s="98" t="str">
        <f>IF(B7="","","NOTE: "&amp;Data!R62)</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501795</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501795</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501795</v>
      </c>
    </row>
    <row r="39" spans="1:8" ht="16.5" thickBot="1">
      <c r="C39" s="17" t="s">
        <v>95</v>
      </c>
      <c r="D39" s="23">
        <f>D37-E37</f>
        <v>-448057.8</v>
      </c>
      <c r="E39" s="24"/>
    </row>
    <row r="40" spans="1:8" ht="16.5" thickTop="1"/>
  </sheetData>
  <mergeCells count="4">
    <mergeCell ref="A9:A10"/>
    <mergeCell ref="B9:B10"/>
    <mergeCell ref="C9:C10"/>
    <mergeCell ref="D9:E9"/>
  </mergeCells>
  <hyperlinks>
    <hyperlink ref="A2:E2" location="Data!A1" display="PROJECT   NAME :  RRL PALACIO" xr:uid="{D5A46EAF-C7B5-4BF5-8F4E-310D0D599A34}"/>
  </hyperlinks>
  <pageMargins left="0.7" right="0.7" top="0.75" bottom="0.75" header="0.3" footer="0.3"/>
  <pageSetup paperSize="9"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403AB-5085-4A0C-8CA0-C324386B2163}">
  <sheetPr codeName="Sheet28"/>
  <dimension ref="A1:H40"/>
  <sheetViews>
    <sheetView zoomScale="130" zoomScaleNormal="130"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f>Data!B63</f>
        <v>0</v>
      </c>
      <c r="B1" s="91"/>
      <c r="C1" s="91"/>
      <c r="D1" s="91"/>
      <c r="E1" s="92"/>
      <c r="F1" s="6">
        <f>Data!P63</f>
        <v>0</v>
      </c>
      <c r="G1" s="7"/>
      <c r="H1" s="8" t="str">
        <f>Data!AX63</f>
        <v>Builder</v>
      </c>
    </row>
    <row r="2" spans="1:8">
      <c r="A2" s="111" t="s">
        <v>105</v>
      </c>
      <c r="B2" s="111"/>
      <c r="C2" s="111"/>
      <c r="D2" s="111"/>
      <c r="E2" s="111"/>
      <c r="G2" s="9" t="s">
        <v>56</v>
      </c>
      <c r="H2" s="9" t="s">
        <v>57</v>
      </c>
    </row>
    <row r="3" spans="1:8">
      <c r="A3" s="116" t="s">
        <v>58</v>
      </c>
      <c r="B3" s="207">
        <f>Data!A63</f>
        <v>2002</v>
      </c>
      <c r="C3" s="118" t="s">
        <v>59</v>
      </c>
      <c r="D3" s="119" t="s">
        <v>106</v>
      </c>
      <c r="E3" s="129">
        <f>Data!F63-'2002'!E4</f>
        <v>0</v>
      </c>
      <c r="G3" s="10">
        <f>E7-H3</f>
        <v>0</v>
      </c>
      <c r="H3" s="10"/>
    </row>
    <row r="4" spans="1:8">
      <c r="A4" s="116" t="s">
        <v>60</v>
      </c>
      <c r="B4" s="120" t="str">
        <f>Data!C63</f>
        <v>Tower-1</v>
      </c>
      <c r="C4" s="121" t="s">
        <v>61</v>
      </c>
      <c r="D4" s="122" t="s">
        <v>106</v>
      </c>
      <c r="E4" s="130">
        <f>(Data!F63*5)/105</f>
        <v>0</v>
      </c>
      <c r="F4" s="7" t="s">
        <v>62</v>
      </c>
      <c r="G4" s="10">
        <f>G3-E18</f>
        <v>0</v>
      </c>
      <c r="H4" s="10">
        <f>H3-D18</f>
        <v>0</v>
      </c>
    </row>
    <row r="5" spans="1:8">
      <c r="A5" s="116" t="s">
        <v>63</v>
      </c>
      <c r="B5" s="123">
        <f>Data!E63</f>
        <v>1495</v>
      </c>
      <c r="C5" s="124" t="s">
        <v>52</v>
      </c>
      <c r="D5" s="125" t="s">
        <v>106</v>
      </c>
      <c r="E5" s="129">
        <f>SUM(E3:E4)</f>
        <v>0</v>
      </c>
    </row>
    <row r="6" spans="1:8">
      <c r="A6" s="116" t="s">
        <v>34</v>
      </c>
      <c r="B6" s="123" t="str">
        <f>Data!D63</f>
        <v>3 BHK</v>
      </c>
      <c r="C6" s="80" t="s">
        <v>64</v>
      </c>
      <c r="D6" s="119" t="s">
        <v>106</v>
      </c>
      <c r="E6" s="130">
        <v>0</v>
      </c>
    </row>
    <row r="7" spans="1:8">
      <c r="A7" s="116" t="s">
        <v>65</v>
      </c>
      <c r="B7" s="126">
        <f>Data!V63</f>
        <v>0</v>
      </c>
      <c r="C7" s="127" t="s">
        <v>66</v>
      </c>
      <c r="D7" s="128" t="s">
        <v>106</v>
      </c>
      <c r="E7" s="131">
        <f>ROUND(SUM(E5:E6),0)</f>
        <v>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0</v>
      </c>
      <c r="C11" s="114"/>
      <c r="D11" s="115">
        <v>0</v>
      </c>
      <c r="E11" s="115"/>
      <c r="F11" s="4"/>
    </row>
    <row r="12" spans="1:8">
      <c r="A12" s="112" t="s">
        <v>73</v>
      </c>
      <c r="B12" s="113">
        <f>$E$7*20%</f>
        <v>0</v>
      </c>
      <c r="C12" s="114"/>
      <c r="D12" s="115">
        <v>0</v>
      </c>
      <c r="E12" s="115"/>
    </row>
    <row r="13" spans="1:8">
      <c r="A13" s="112" t="s">
        <v>74</v>
      </c>
      <c r="B13" s="113">
        <f>$E$7*20%</f>
        <v>0</v>
      </c>
      <c r="C13" s="114"/>
      <c r="D13" s="115">
        <v>0</v>
      </c>
      <c r="E13" s="115"/>
      <c r="F13" s="11"/>
    </row>
    <row r="14" spans="1:8">
      <c r="A14" s="112" t="s">
        <v>75</v>
      </c>
      <c r="B14" s="113">
        <f>$E$7*15%</f>
        <v>0</v>
      </c>
      <c r="C14" s="114"/>
      <c r="D14" s="115">
        <v>0</v>
      </c>
      <c r="E14" s="115"/>
      <c r="F14" s="11"/>
    </row>
    <row r="15" spans="1:8">
      <c r="A15" s="112" t="s">
        <v>185</v>
      </c>
      <c r="B15" s="113">
        <f>$E$7*5%</f>
        <v>0</v>
      </c>
      <c r="C15" s="114"/>
      <c r="D15" s="115">
        <v>0</v>
      </c>
      <c r="E15" s="115"/>
      <c r="F15" s="11"/>
    </row>
    <row r="16" spans="1:8">
      <c r="A16" s="112" t="s">
        <v>184</v>
      </c>
      <c r="B16" s="113">
        <f>$E$7*15%</f>
        <v>0</v>
      </c>
      <c r="C16" s="114"/>
      <c r="D16" s="115">
        <v>0</v>
      </c>
      <c r="E16" s="115"/>
      <c r="F16" s="11"/>
    </row>
    <row r="17" spans="1:8">
      <c r="A17" s="112" t="s">
        <v>76</v>
      </c>
      <c r="B17" s="113">
        <f>$E$7*5%</f>
        <v>0</v>
      </c>
      <c r="C17" s="114"/>
      <c r="D17" s="115">
        <v>0</v>
      </c>
      <c r="E17" s="115"/>
      <c r="F17" s="11"/>
    </row>
    <row r="18" spans="1:8">
      <c r="A18" s="93"/>
      <c r="B18" s="94"/>
      <c r="C18" s="95" t="s">
        <v>77</v>
      </c>
      <c r="D18" s="96">
        <f>SUM(D11:D17)</f>
        <v>0</v>
      </c>
      <c r="E18" s="97">
        <f>SUM(E11:E17)</f>
        <v>0</v>
      </c>
    </row>
    <row r="19" spans="1:8">
      <c r="A19" s="98"/>
      <c r="B19" s="99"/>
      <c r="C19" s="100"/>
      <c r="D19" s="101" t="s">
        <v>78</v>
      </c>
      <c r="E19" s="164">
        <f>D18+E18</f>
        <v>0</v>
      </c>
    </row>
    <row r="20" spans="1:8" ht="16.5" thickBot="1">
      <c r="A20" s="102"/>
      <c r="B20" s="103"/>
      <c r="C20" s="100"/>
      <c r="D20" s="101" t="s">
        <v>79</v>
      </c>
      <c r="E20" s="165">
        <f>E7-E19</f>
        <v>0</v>
      </c>
    </row>
    <row r="21" spans="1:8" ht="16.5" thickTop="1">
      <c r="A21" s="98" t="str">
        <f>IF(B7="","","NOTE: "&amp;Data!R63)</f>
        <v xml:space="preserve">NOTE: </v>
      </c>
      <c r="B21" s="99"/>
      <c r="C21" s="99"/>
      <c r="D21" s="99"/>
      <c r="E21" s="104"/>
    </row>
    <row r="22" spans="1:8">
      <c r="A22" s="105"/>
      <c r="B22" s="106"/>
      <c r="C22" s="106"/>
      <c r="D22" s="106"/>
      <c r="E22" s="107"/>
    </row>
    <row r="24" spans="1:8">
      <c r="D24" s="13" t="s">
        <v>80</v>
      </c>
      <c r="E24" s="14" t="s">
        <v>81</v>
      </c>
    </row>
    <row r="25" spans="1:8">
      <c r="C25" s="7" t="s">
        <v>82</v>
      </c>
      <c r="E25" s="16">
        <f>E19</f>
        <v>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0</v>
      </c>
      <c r="F30" s="6"/>
      <c r="G30" s="6"/>
      <c r="H30" s="6"/>
    </row>
    <row r="31" spans="1:8" s="15" customFormat="1">
      <c r="A31" s="6"/>
      <c r="B31" s="6"/>
      <c r="C31" s="7" t="s">
        <v>88</v>
      </c>
      <c r="D31" s="12">
        <f>B5*3*12</f>
        <v>53820</v>
      </c>
      <c r="E31" s="16" t="str">
        <f>IF(D31="","Maintenance will be paid to Association","")</f>
        <v/>
      </c>
      <c r="F31" s="6"/>
      <c r="G31" s="6"/>
      <c r="H31" s="6"/>
    </row>
    <row r="32" spans="1:8" s="15" customFormat="1">
      <c r="A32" s="6"/>
      <c r="B32" s="6"/>
      <c r="C32" s="7" t="s">
        <v>89</v>
      </c>
      <c r="D32" s="19">
        <f>IF(D31="","",D31*18%)</f>
        <v>9687.6</v>
      </c>
      <c r="E32" s="20"/>
      <c r="F32" s="6"/>
      <c r="G32" s="6"/>
      <c r="H32" s="6"/>
    </row>
    <row r="33" spans="1:8" s="15" customFormat="1">
      <c r="A33" s="6"/>
      <c r="B33" s="6"/>
      <c r="C33" s="17" t="s">
        <v>90</v>
      </c>
      <c r="D33" s="13">
        <f>SUM(D31:D32)</f>
        <v>63507.6</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63507.6</v>
      </c>
      <c r="E37" s="22">
        <f>SUM(E34:E36)+E33+E30</f>
        <v>0</v>
      </c>
    </row>
    <row r="39" spans="1:8" ht="16.5" thickBot="1">
      <c r="C39" s="17" t="s">
        <v>95</v>
      </c>
      <c r="D39" s="23">
        <f>D37-E37</f>
        <v>63507.6</v>
      </c>
      <c r="E39" s="24"/>
    </row>
    <row r="40" spans="1:8" ht="16.5" thickTop="1"/>
  </sheetData>
  <mergeCells count="4">
    <mergeCell ref="A9:A10"/>
    <mergeCell ref="B9:B10"/>
    <mergeCell ref="C9:C10"/>
    <mergeCell ref="D9:E9"/>
  </mergeCells>
  <hyperlinks>
    <hyperlink ref="A2:E2" location="Data!A1" display="PROJECT   NAME :  RRL PALACIO" xr:uid="{26297B66-122E-4142-A38C-2AD39A6A8626}"/>
  </hyperlinks>
  <pageMargins left="0.7" right="0.7" top="0.75" bottom="0.75" header="0.3" footer="0.3"/>
  <pageSetup paperSize="9" orientation="portrait" horizontalDpi="0" verticalDpi="0"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869B3-9908-4536-AC7C-0D168C88759D}">
  <sheetPr codeName="Sheet30"/>
  <dimension ref="A1:H41"/>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7109375" style="12" bestFit="1" customWidth="1"/>
    <col min="6" max="6" width="5.7109375" style="6" customWidth="1"/>
    <col min="7" max="7" width="12" style="6" bestFit="1" customWidth="1"/>
    <col min="8" max="8" width="9.85546875" style="6" bestFit="1" customWidth="1"/>
    <col min="9" max="16384" width="11.42578125" style="6"/>
  </cols>
  <sheetData>
    <row r="1" spans="1:8">
      <c r="A1" s="166" t="str">
        <f>Data!B64</f>
        <v>BOLLA BUCHA RAO AND BOLLA SIREESHA</v>
      </c>
      <c r="B1" s="91"/>
      <c r="C1" s="91"/>
      <c r="D1" s="91"/>
      <c r="E1" s="92"/>
      <c r="F1" s="6" t="str">
        <f>Data!P64</f>
        <v>BOB</v>
      </c>
      <c r="G1" s="7"/>
      <c r="H1" s="8" t="str">
        <f>Data!AX64</f>
        <v>Builder</v>
      </c>
    </row>
    <row r="2" spans="1:8">
      <c r="A2" s="111" t="s">
        <v>105</v>
      </c>
      <c r="B2" s="111"/>
      <c r="C2" s="111"/>
      <c r="D2" s="111"/>
      <c r="E2" s="111"/>
      <c r="G2" s="9" t="s">
        <v>56</v>
      </c>
      <c r="H2" s="9" t="s">
        <v>57</v>
      </c>
    </row>
    <row r="3" spans="1:8">
      <c r="A3" s="116" t="s">
        <v>58</v>
      </c>
      <c r="B3" s="207">
        <f>Data!A64</f>
        <v>2003</v>
      </c>
      <c r="C3" s="118" t="s">
        <v>59</v>
      </c>
      <c r="D3" s="119" t="s">
        <v>106</v>
      </c>
      <c r="E3" s="129">
        <f>Data!F64-'2003'!E4</f>
        <v>9861500</v>
      </c>
      <c r="G3" s="10">
        <f>E7-H3</f>
        <v>1054575</v>
      </c>
      <c r="H3" s="10">
        <v>9300000</v>
      </c>
    </row>
    <row r="4" spans="1:8">
      <c r="A4" s="116" t="s">
        <v>60</v>
      </c>
      <c r="B4" s="120" t="str">
        <f>Data!C64</f>
        <v>Tower-1</v>
      </c>
      <c r="C4" s="121" t="s">
        <v>61</v>
      </c>
      <c r="D4" s="122" t="s">
        <v>106</v>
      </c>
      <c r="E4" s="130">
        <f>(Data!F64*5)/105</f>
        <v>493075</v>
      </c>
      <c r="F4" s="7" t="s">
        <v>62</v>
      </c>
      <c r="G4" s="10">
        <f>G3-E19</f>
        <v>536847</v>
      </c>
      <c r="H4" s="10">
        <f>H3-D19</f>
        <v>5675898</v>
      </c>
    </row>
    <row r="5" spans="1:8">
      <c r="A5" s="116" t="s">
        <v>63</v>
      </c>
      <c r="B5" s="123">
        <f>Data!E64</f>
        <v>1630</v>
      </c>
      <c r="C5" s="124" t="s">
        <v>52</v>
      </c>
      <c r="D5" s="125" t="s">
        <v>106</v>
      </c>
      <c r="E5" s="129">
        <f>SUM(E3:E4)</f>
        <v>10354575</v>
      </c>
    </row>
    <row r="6" spans="1:8">
      <c r="A6" s="116" t="s">
        <v>34</v>
      </c>
      <c r="B6" s="123" t="str">
        <f>Data!D64</f>
        <v>3 BHK</v>
      </c>
      <c r="C6" s="80" t="s">
        <v>64</v>
      </c>
      <c r="D6" s="119" t="s">
        <v>106</v>
      </c>
      <c r="E6" s="130">
        <v>0</v>
      </c>
    </row>
    <row r="7" spans="1:8">
      <c r="A7" s="116" t="s">
        <v>65</v>
      </c>
      <c r="B7" s="126" t="str">
        <f>Data!V64</f>
        <v>RRL PAB007</v>
      </c>
      <c r="C7" s="127" t="s">
        <v>66</v>
      </c>
      <c r="D7" s="128" t="s">
        <v>106</v>
      </c>
      <c r="E7" s="131">
        <f>ROUND(SUM(E5:E6),0)</f>
        <v>10354575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2070915</v>
      </c>
      <c r="C11" s="114" t="s">
        <v>222</v>
      </c>
      <c r="D11" s="115">
        <v>0</v>
      </c>
      <c r="E11" s="115">
        <v>1</v>
      </c>
      <c r="F11" s="4"/>
    </row>
    <row r="12" spans="1:8">
      <c r="A12" s="112" t="s">
        <v>73</v>
      </c>
      <c r="B12" s="113">
        <f>$E$7*20%</f>
        <v>2070915</v>
      </c>
      <c r="C12" s="114" t="s">
        <v>223</v>
      </c>
      <c r="D12" s="115">
        <v>0</v>
      </c>
      <c r="E12" s="115">
        <v>100000</v>
      </c>
    </row>
    <row r="13" spans="1:8">
      <c r="A13" s="112" t="s">
        <v>74</v>
      </c>
      <c r="B13" s="113">
        <f>$E$7*20%</f>
        <v>2070915</v>
      </c>
      <c r="C13" s="114" t="s">
        <v>224</v>
      </c>
      <c r="D13" s="115">
        <v>0</v>
      </c>
      <c r="E13" s="115">
        <v>49999</v>
      </c>
      <c r="F13" s="11"/>
    </row>
    <row r="14" spans="1:8">
      <c r="A14" s="112" t="s">
        <v>75</v>
      </c>
      <c r="B14" s="113">
        <f>$E$7*15%</f>
        <v>1553186.25</v>
      </c>
      <c r="C14" s="114" t="s">
        <v>283</v>
      </c>
      <c r="D14" s="115">
        <v>0</v>
      </c>
      <c r="E14" s="115">
        <v>-150000</v>
      </c>
      <c r="F14" s="11"/>
    </row>
    <row r="15" spans="1:8">
      <c r="A15" s="112" t="s">
        <v>185</v>
      </c>
      <c r="B15" s="113">
        <f>$E$7*5%</f>
        <v>517728.75</v>
      </c>
      <c r="C15" s="114" t="s">
        <v>225</v>
      </c>
      <c r="D15" s="115">
        <v>0</v>
      </c>
      <c r="E15" s="115">
        <v>200000</v>
      </c>
      <c r="F15" s="4" t="s">
        <v>377</v>
      </c>
    </row>
    <row r="16" spans="1:8">
      <c r="A16" s="112" t="s">
        <v>184</v>
      </c>
      <c r="B16" s="113">
        <f>$E$7*15%</f>
        <v>1553186.25</v>
      </c>
      <c r="C16" s="114" t="s">
        <v>673</v>
      </c>
      <c r="D16" s="115">
        <v>0</v>
      </c>
      <c r="E16" s="115">
        <v>317728</v>
      </c>
      <c r="F16" s="4" t="s">
        <v>948</v>
      </c>
    </row>
    <row r="17" spans="1:8">
      <c r="A17" s="112" t="s">
        <v>76</v>
      </c>
      <c r="B17" s="113">
        <f>$E$7*5%</f>
        <v>517728.75</v>
      </c>
      <c r="C17" s="114" t="s">
        <v>974</v>
      </c>
      <c r="D17" s="115">
        <v>3624102</v>
      </c>
      <c r="E17" s="115"/>
      <c r="F17" s="11" t="s">
        <v>972</v>
      </c>
    </row>
    <row r="18" spans="1:8">
      <c r="A18" s="112"/>
      <c r="B18" s="113"/>
      <c r="C18" s="114"/>
      <c r="D18" s="115">
        <v>0</v>
      </c>
      <c r="E18" s="115"/>
      <c r="F18" s="11"/>
    </row>
    <row r="19" spans="1:8">
      <c r="A19" s="93"/>
      <c r="B19" s="94"/>
      <c r="C19" s="95" t="s">
        <v>77</v>
      </c>
      <c r="D19" s="96">
        <f>SUM(D11:D18)</f>
        <v>3624102</v>
      </c>
      <c r="E19" s="97">
        <f>SUM(E11:E18)</f>
        <v>517728</v>
      </c>
    </row>
    <row r="20" spans="1:8">
      <c r="A20" s="98"/>
      <c r="B20" s="99"/>
      <c r="C20" s="100"/>
      <c r="D20" s="101" t="s">
        <v>78</v>
      </c>
      <c r="E20" s="164">
        <f>D19+E19</f>
        <v>4141830</v>
      </c>
    </row>
    <row r="21" spans="1:8" ht="16.5" thickBot="1">
      <c r="A21" s="102"/>
      <c r="B21" s="103"/>
      <c r="C21" s="100"/>
      <c r="D21" s="101" t="s">
        <v>79</v>
      </c>
      <c r="E21" s="165">
        <f>E7-E20</f>
        <v>6212745</v>
      </c>
    </row>
    <row r="22" spans="1:8" ht="16.5" thickTop="1">
      <c r="A22" s="98" t="str">
        <f>IF(B7="","","NOTE: "&amp;Data!R64)</f>
        <v>NOTE: EXCLUDING GOVERNMENT CHARGES, MAINTENANCE</v>
      </c>
      <c r="B22" s="99"/>
      <c r="C22" s="99"/>
      <c r="D22" s="99"/>
      <c r="E22" s="104"/>
    </row>
    <row r="23" spans="1:8">
      <c r="A23" s="105"/>
      <c r="B23" s="106"/>
      <c r="C23" s="106"/>
      <c r="D23" s="106"/>
      <c r="E23" s="107"/>
    </row>
    <row r="25" spans="1:8">
      <c r="D25" s="13" t="s">
        <v>80</v>
      </c>
      <c r="E25" s="14" t="s">
        <v>81</v>
      </c>
    </row>
    <row r="26" spans="1:8">
      <c r="C26" s="7" t="s">
        <v>82</v>
      </c>
      <c r="E26" s="16">
        <f>E20</f>
        <v>4141830</v>
      </c>
    </row>
    <row r="27" spans="1:8">
      <c r="C27" s="7" t="s">
        <v>83</v>
      </c>
      <c r="D27" s="12">
        <v>0</v>
      </c>
      <c r="E27" s="16"/>
    </row>
    <row r="28" spans="1:8">
      <c r="C28" s="17" t="s">
        <v>84</v>
      </c>
      <c r="D28" s="13">
        <f>SUM(D26:D27)</f>
        <v>0</v>
      </c>
      <c r="E28" s="16"/>
    </row>
    <row r="29" spans="1:8" s="15" customFormat="1">
      <c r="A29" s="6"/>
      <c r="B29" s="6"/>
      <c r="C29" s="7" t="s">
        <v>85</v>
      </c>
      <c r="D29" s="12">
        <f>D28*5%</f>
        <v>0</v>
      </c>
      <c r="E29" s="18"/>
      <c r="F29" s="6"/>
      <c r="G29" s="6"/>
      <c r="H29" s="6"/>
    </row>
    <row r="30" spans="1:8" s="15" customFormat="1">
      <c r="A30" s="6"/>
      <c r="B30" s="6"/>
      <c r="C30" s="7" t="s">
        <v>86</v>
      </c>
      <c r="D30" s="19">
        <v>0</v>
      </c>
      <c r="E30" s="20"/>
      <c r="F30" s="6"/>
      <c r="G30" s="6"/>
      <c r="H30" s="6"/>
    </row>
    <row r="31" spans="1:8" s="15" customFormat="1">
      <c r="A31" s="6"/>
      <c r="B31" s="6"/>
      <c r="C31" s="17" t="s">
        <v>87</v>
      </c>
      <c r="D31" s="13">
        <f>D28+D29+D30</f>
        <v>0</v>
      </c>
      <c r="E31" s="14">
        <f>SUM(E26:E30)</f>
        <v>4141830</v>
      </c>
      <c r="F31" s="6"/>
      <c r="G31" s="6"/>
      <c r="H31" s="6"/>
    </row>
    <row r="32" spans="1:8" s="15" customFormat="1">
      <c r="A32" s="6"/>
      <c r="B32" s="6"/>
      <c r="C32" s="7" t="s">
        <v>88</v>
      </c>
      <c r="D32" s="12">
        <f>B5*3*12</f>
        <v>58680</v>
      </c>
      <c r="E32" s="16" t="str">
        <f>IF(D32="","Maintenance will be paid to Association","")</f>
        <v/>
      </c>
      <c r="F32" s="6"/>
      <c r="G32" s="6"/>
      <c r="H32" s="6"/>
    </row>
    <row r="33" spans="1:8" s="15" customFormat="1">
      <c r="A33" s="6"/>
      <c r="B33" s="6"/>
      <c r="C33" s="7" t="s">
        <v>89</v>
      </c>
      <c r="D33" s="19">
        <f>IF(D32="","",D32*18%)</f>
        <v>10562.4</v>
      </c>
      <c r="E33" s="20"/>
      <c r="F33" s="6"/>
      <c r="G33" s="6"/>
      <c r="H33" s="6"/>
    </row>
    <row r="34" spans="1:8" s="15" customFormat="1">
      <c r="A34" s="6"/>
      <c r="B34" s="6"/>
      <c r="C34" s="17" t="s">
        <v>90</v>
      </c>
      <c r="D34" s="13">
        <f>SUM(D32:D33)</f>
        <v>69242.399999999994</v>
      </c>
      <c r="E34" s="14">
        <f>SUM(E32:E33)</f>
        <v>0</v>
      </c>
      <c r="F34" s="6"/>
      <c r="G34" s="6"/>
      <c r="H34" s="6"/>
    </row>
    <row r="35" spans="1:8">
      <c r="C35" s="7" t="s">
        <v>91</v>
      </c>
      <c r="D35" s="12">
        <v>0</v>
      </c>
      <c r="E35" s="16"/>
    </row>
    <row r="36" spans="1:8" s="15" customFormat="1">
      <c r="A36" s="6"/>
      <c r="B36" s="6"/>
      <c r="C36" s="7" t="s">
        <v>92</v>
      </c>
      <c r="D36" s="12"/>
      <c r="E36" s="16"/>
      <c r="F36" s="6"/>
      <c r="G36" s="6"/>
      <c r="H36" s="6"/>
    </row>
    <row r="37" spans="1:8" s="15" customFormat="1">
      <c r="A37" s="6"/>
      <c r="B37" s="6"/>
      <c r="C37" s="7" t="s">
        <v>93</v>
      </c>
      <c r="D37" s="19"/>
      <c r="E37" s="20"/>
      <c r="F37" s="6"/>
      <c r="G37" s="6"/>
      <c r="H37" s="6"/>
    </row>
    <row r="38" spans="1:8">
      <c r="C38" s="17" t="s">
        <v>94</v>
      </c>
      <c r="D38" s="21">
        <f>SUM(D35:D37)+D34+D31</f>
        <v>69242.399999999994</v>
      </c>
      <c r="E38" s="22">
        <f>SUM(E35:E37)+E34+E31</f>
        <v>4141830</v>
      </c>
    </row>
    <row r="40" spans="1:8" ht="16.5" thickBot="1">
      <c r="C40" s="17" t="s">
        <v>95</v>
      </c>
      <c r="D40" s="23">
        <f>D38-E38</f>
        <v>-4072587.6</v>
      </c>
      <c r="E40" s="24"/>
    </row>
    <row r="41" spans="1:8" ht="16.5" thickTop="1"/>
  </sheetData>
  <mergeCells count="4">
    <mergeCell ref="A9:A10"/>
    <mergeCell ref="B9:B10"/>
    <mergeCell ref="C9:C10"/>
    <mergeCell ref="D9:E9"/>
  </mergeCells>
  <hyperlinks>
    <hyperlink ref="A2:E2" location="Data!A1" display="PROJECT   NAME :  RRL PALACIO" xr:uid="{152C2E60-F86C-4C75-A9C8-3B9F7C6B8D1B}"/>
  </hyperlinks>
  <pageMargins left="0.7" right="0.7" top="0.75" bottom="0.75" header="0.3" footer="0.3"/>
  <pageSetup paperSize="9" orientation="portrait" horizontalDpi="0" verticalDpi="0"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123DD-6A7E-467D-801D-37FBB764ABFF}">
  <sheetPr codeName="Sheet31"/>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Data!B65</f>
        <v>KONGARA RAMARAO</v>
      </c>
      <c r="B1" s="91"/>
      <c r="C1" s="91"/>
      <c r="D1" s="91"/>
      <c r="E1" s="92"/>
      <c r="F1" s="6" t="str">
        <f>Data!P65</f>
        <v>BOB</v>
      </c>
      <c r="G1" s="7"/>
      <c r="H1" s="8" t="str">
        <f>Data!AX65</f>
        <v>Builder</v>
      </c>
    </row>
    <row r="2" spans="1:8">
      <c r="A2" s="111" t="s">
        <v>105</v>
      </c>
      <c r="B2" s="111"/>
      <c r="C2" s="111"/>
      <c r="D2" s="111"/>
      <c r="E2" s="111"/>
      <c r="G2" s="9" t="s">
        <v>56</v>
      </c>
      <c r="H2" s="9" t="s">
        <v>57</v>
      </c>
    </row>
    <row r="3" spans="1:8">
      <c r="A3" s="116" t="s">
        <v>58</v>
      </c>
      <c r="B3" s="207">
        <f>Data!A65</f>
        <v>2004</v>
      </c>
      <c r="C3" s="118" t="s">
        <v>59</v>
      </c>
      <c r="D3" s="119" t="s">
        <v>106</v>
      </c>
      <c r="E3" s="129">
        <f>Data!F65-'2004'!E4</f>
        <v>9438000</v>
      </c>
      <c r="G3" s="10">
        <f>E7-H3</f>
        <v>909900</v>
      </c>
      <c r="H3" s="10">
        <v>9000000</v>
      </c>
    </row>
    <row r="4" spans="1:8">
      <c r="A4" s="116" t="s">
        <v>60</v>
      </c>
      <c r="B4" s="120" t="str">
        <f>Data!C65</f>
        <v>Tower-1</v>
      </c>
      <c r="C4" s="121" t="s">
        <v>61</v>
      </c>
      <c r="D4" s="122" t="s">
        <v>106</v>
      </c>
      <c r="E4" s="130">
        <f>(Data!F65*5)/105</f>
        <v>471900</v>
      </c>
      <c r="F4" s="7" t="s">
        <v>62</v>
      </c>
      <c r="G4" s="10">
        <f>G3-E18</f>
        <v>414405</v>
      </c>
      <c r="H4" s="10">
        <f>H3-D18</f>
        <v>6187431</v>
      </c>
    </row>
    <row r="5" spans="1:8">
      <c r="A5" s="116" t="s">
        <v>63</v>
      </c>
      <c r="B5" s="123">
        <f>Data!E65</f>
        <v>1560</v>
      </c>
      <c r="C5" s="124" t="s">
        <v>52</v>
      </c>
      <c r="D5" s="125" t="s">
        <v>106</v>
      </c>
      <c r="E5" s="129">
        <f>SUM(E3:E4)</f>
        <v>9909900</v>
      </c>
    </row>
    <row r="6" spans="1:8">
      <c r="A6" s="116" t="s">
        <v>34</v>
      </c>
      <c r="B6" s="123" t="str">
        <f>Data!D65</f>
        <v>3 BHK</v>
      </c>
      <c r="C6" s="80" t="s">
        <v>64</v>
      </c>
      <c r="D6" s="119" t="s">
        <v>106</v>
      </c>
      <c r="E6" s="130">
        <v>0</v>
      </c>
    </row>
    <row r="7" spans="1:8">
      <c r="A7" s="116" t="s">
        <v>65</v>
      </c>
      <c r="B7" s="126" t="str">
        <f>Data!V65</f>
        <v>RRL PAB003</v>
      </c>
      <c r="C7" s="127" t="s">
        <v>66</v>
      </c>
      <c r="D7" s="128" t="s">
        <v>106</v>
      </c>
      <c r="E7" s="131">
        <f>ROUND(SUM(E5:E6),0)</f>
        <v>9909900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1981980</v>
      </c>
      <c r="C11" s="114" t="s">
        <v>212</v>
      </c>
      <c r="D11" s="115">
        <v>0</v>
      </c>
      <c r="E11" s="115">
        <v>200000</v>
      </c>
      <c r="F11" s="4" t="s">
        <v>220</v>
      </c>
    </row>
    <row r="12" spans="1:8">
      <c r="A12" s="112" t="s">
        <v>73</v>
      </c>
      <c r="B12" s="113">
        <f>$E$7*20%</f>
        <v>1981980</v>
      </c>
      <c r="C12" s="114" t="s">
        <v>675</v>
      </c>
      <c r="D12" s="115">
        <v>0</v>
      </c>
      <c r="E12" s="115">
        <v>295495</v>
      </c>
      <c r="F12" s="4" t="s">
        <v>818</v>
      </c>
    </row>
    <row r="13" spans="1:8">
      <c r="A13" s="112" t="s">
        <v>74</v>
      </c>
      <c r="B13" s="113">
        <f>$E$7*20%</f>
        <v>1981980</v>
      </c>
      <c r="C13" s="114" t="s">
        <v>870</v>
      </c>
      <c r="D13" s="115">
        <v>2812569</v>
      </c>
      <c r="E13" s="115"/>
      <c r="F13" s="4" t="s">
        <v>869</v>
      </c>
    </row>
    <row r="14" spans="1:8">
      <c r="A14" s="112" t="s">
        <v>75</v>
      </c>
      <c r="B14" s="113">
        <f>$E$7*15%</f>
        <v>1486485</v>
      </c>
      <c r="C14" s="114"/>
      <c r="D14" s="115">
        <v>0</v>
      </c>
      <c r="E14" s="115"/>
      <c r="F14" s="11"/>
    </row>
    <row r="15" spans="1:8">
      <c r="A15" s="112" t="s">
        <v>185</v>
      </c>
      <c r="B15" s="113">
        <f>$E$7*5%</f>
        <v>495495</v>
      </c>
      <c r="C15" s="114"/>
      <c r="D15" s="115">
        <v>0</v>
      </c>
      <c r="E15" s="115"/>
      <c r="F15" s="11"/>
    </row>
    <row r="16" spans="1:8">
      <c r="A16" s="112" t="s">
        <v>184</v>
      </c>
      <c r="B16" s="113">
        <f>$E$7*15%</f>
        <v>1486485</v>
      </c>
      <c r="C16" s="114"/>
      <c r="D16" s="115">
        <v>0</v>
      </c>
      <c r="E16" s="115"/>
      <c r="F16" s="11"/>
    </row>
    <row r="17" spans="1:8">
      <c r="A17" s="112" t="s">
        <v>76</v>
      </c>
      <c r="B17" s="113">
        <f>$E$7*5%</f>
        <v>495495</v>
      </c>
      <c r="C17" s="114"/>
      <c r="D17" s="115">
        <v>0</v>
      </c>
      <c r="E17" s="115"/>
      <c r="F17" s="11"/>
    </row>
    <row r="18" spans="1:8">
      <c r="A18" s="93"/>
      <c r="B18" s="94"/>
      <c r="C18" s="95" t="s">
        <v>77</v>
      </c>
      <c r="D18" s="96">
        <f>SUM(D11:D17)</f>
        <v>2812569</v>
      </c>
      <c r="E18" s="97">
        <f>SUM(E11:E17)</f>
        <v>495495</v>
      </c>
    </row>
    <row r="19" spans="1:8">
      <c r="A19" s="98"/>
      <c r="B19" s="99"/>
      <c r="C19" s="100"/>
      <c r="D19" s="101" t="s">
        <v>78</v>
      </c>
      <c r="E19" s="164">
        <f>D18+E18</f>
        <v>3308064</v>
      </c>
    </row>
    <row r="20" spans="1:8" ht="16.5" thickBot="1">
      <c r="A20" s="102"/>
      <c r="B20" s="103"/>
      <c r="C20" s="100"/>
      <c r="D20" s="101" t="s">
        <v>79</v>
      </c>
      <c r="E20" s="165">
        <f>E7-E19</f>
        <v>6601836</v>
      </c>
    </row>
    <row r="21" spans="1:8" ht="16.5" thickTop="1">
      <c r="A21" s="98" t="str">
        <f>IF(B7="","","NOTE: "&amp;Data!R65)</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3308064</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3308064</v>
      </c>
      <c r="F30" s="6"/>
      <c r="G30" s="6"/>
      <c r="H30" s="6"/>
    </row>
    <row r="31" spans="1:8" s="15" customFormat="1">
      <c r="A31" s="6"/>
      <c r="B31" s="6"/>
      <c r="C31" s="7" t="s">
        <v>88</v>
      </c>
      <c r="D31" s="12">
        <f>B5*3*12</f>
        <v>56160</v>
      </c>
      <c r="E31" s="16" t="str">
        <f>IF(D31="","Maintenance will be paid to Association","")</f>
        <v/>
      </c>
      <c r="F31" s="6"/>
      <c r="G31" s="6"/>
      <c r="H31" s="6"/>
    </row>
    <row r="32" spans="1:8" s="15" customFormat="1">
      <c r="A32" s="6"/>
      <c r="B32" s="6"/>
      <c r="C32" s="7" t="s">
        <v>89</v>
      </c>
      <c r="D32" s="19">
        <f>IF(D31="","",D31*18%)</f>
        <v>10108.799999999999</v>
      </c>
      <c r="E32" s="20"/>
      <c r="F32" s="6"/>
      <c r="G32" s="6"/>
      <c r="H32" s="6"/>
    </row>
    <row r="33" spans="1:8" s="15" customFormat="1">
      <c r="A33" s="6"/>
      <c r="B33" s="6"/>
      <c r="C33" s="17" t="s">
        <v>90</v>
      </c>
      <c r="D33" s="13">
        <f>SUM(D31:D32)</f>
        <v>66268.800000000003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66268.800000000003</v>
      </c>
      <c r="E37" s="22">
        <f>SUM(E34:E36)+E33+E30</f>
        <v>3308064</v>
      </c>
    </row>
    <row r="39" spans="1:8" ht="16.5" thickBot="1">
      <c r="C39" s="17" t="s">
        <v>95</v>
      </c>
      <c r="D39" s="23">
        <f>D37-E37</f>
        <v>-3241795.2</v>
      </c>
      <c r="E39" s="24"/>
    </row>
    <row r="40" spans="1:8" ht="16.5" thickTop="1"/>
  </sheetData>
  <mergeCells count="4">
    <mergeCell ref="A9:A10"/>
    <mergeCell ref="B9:B10"/>
    <mergeCell ref="C9:C10"/>
    <mergeCell ref="D9:E9"/>
  </mergeCells>
  <hyperlinks>
    <hyperlink ref="A2:E2" location="Data!A1" display="PROJECT   NAME :  RRL PALACIO" xr:uid="{9BB64BDB-AAF7-477E-A26E-42164617DFDC}"/>
  </hyperlinks>
  <pageMargins left="0.7" right="0.7" top="0.75" bottom="0.75" header="0.3" footer="0.3"/>
  <pageSetup paperSize="9" orientation="portrait" horizontalDpi="0" verticalDpi="0"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B3362-F4E7-4F9C-BE91-D6D5D0C8F109}">
  <sheetPr codeName="Sheet51"/>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Data!B66</f>
        <v>SHUBHRASMITA NAYAK AND JOYDEEP NAYAK</v>
      </c>
      <c r="B1" s="91"/>
      <c r="C1" s="91"/>
      <c r="D1" s="91"/>
      <c r="E1" s="92"/>
      <c r="F1" s="6" t="str">
        <f>Data!P66</f>
        <v>BOB</v>
      </c>
      <c r="G1" s="7"/>
      <c r="H1" s="8" t="str">
        <f>Data!AX66</f>
        <v>Builder</v>
      </c>
    </row>
    <row r="2" spans="1:8">
      <c r="A2" s="111" t="s">
        <v>105</v>
      </c>
      <c r="B2" s="111"/>
      <c r="C2" s="111"/>
      <c r="D2" s="111"/>
      <c r="E2" s="111"/>
      <c r="G2" s="9" t="s">
        <v>56</v>
      </c>
      <c r="H2" s="9" t="s">
        <v>57</v>
      </c>
    </row>
    <row r="3" spans="1:8">
      <c r="A3" s="116" t="s">
        <v>58</v>
      </c>
      <c r="B3" s="207">
        <f>Data!A66</f>
        <v>2005</v>
      </c>
      <c r="C3" s="118" t="s">
        <v>59</v>
      </c>
      <c r="D3" s="119" t="s">
        <v>106</v>
      </c>
      <c r="E3" s="129">
        <f>Data!F66-'2005'!E4</f>
        <v>9815000</v>
      </c>
      <c r="G3" s="10">
        <f>E7-H3</f>
        <v>1805750</v>
      </c>
      <c r="H3" s="10">
        <v>8500000</v>
      </c>
    </row>
    <row r="4" spans="1:8">
      <c r="A4" s="116" t="s">
        <v>60</v>
      </c>
      <c r="B4" s="120" t="str">
        <f>Data!C66</f>
        <v>Tower-1</v>
      </c>
      <c r="C4" s="121" t="s">
        <v>61</v>
      </c>
      <c r="D4" s="122" t="s">
        <v>106</v>
      </c>
      <c r="E4" s="130">
        <f>(Data!F66*5)/105</f>
        <v>490750</v>
      </c>
      <c r="F4" s="7" t="s">
        <v>62</v>
      </c>
      <c r="G4" s="10">
        <f>G3-E18</f>
        <v>-255400</v>
      </c>
      <c r="H4" s="10">
        <f>H3-D18</f>
        <v>6438850</v>
      </c>
    </row>
    <row r="5" spans="1:8">
      <c r="A5" s="116" t="s">
        <v>63</v>
      </c>
      <c r="B5" s="123">
        <f>Data!E66</f>
        <v>1510</v>
      </c>
      <c r="C5" s="124" t="s">
        <v>52</v>
      </c>
      <c r="D5" s="125" t="s">
        <v>106</v>
      </c>
      <c r="E5" s="129">
        <f>SUM(E3:E4)</f>
        <v>10305750</v>
      </c>
    </row>
    <row r="6" spans="1:8">
      <c r="A6" s="116" t="s">
        <v>34</v>
      </c>
      <c r="B6" s="123" t="str">
        <f>Data!D66</f>
        <v>3 BHK</v>
      </c>
      <c r="C6" s="80" t="s">
        <v>64</v>
      </c>
      <c r="D6" s="119" t="s">
        <v>106</v>
      </c>
      <c r="E6" s="130">
        <v>0</v>
      </c>
    </row>
    <row r="7" spans="1:8">
      <c r="A7" s="116" t="s">
        <v>65</v>
      </c>
      <c r="B7" s="126" t="str">
        <f>Data!V66</f>
        <v>RRL PAB026</v>
      </c>
      <c r="C7" s="127" t="s">
        <v>66</v>
      </c>
      <c r="D7" s="128" t="s">
        <v>106</v>
      </c>
      <c r="E7" s="131">
        <f>ROUND(SUM(E5:E6),0)</f>
        <v>10305750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2061150</v>
      </c>
      <c r="C11" s="114" t="s">
        <v>476</v>
      </c>
      <c r="D11" s="115">
        <v>0</v>
      </c>
      <c r="E11" s="115"/>
      <c r="F11" s="4"/>
    </row>
    <row r="12" spans="1:8">
      <c r="A12" s="112" t="s">
        <v>73</v>
      </c>
      <c r="B12" s="113">
        <f>$E$7*20%</f>
        <v>2061150</v>
      </c>
      <c r="C12" s="114" t="s">
        <v>479</v>
      </c>
      <c r="D12" s="115">
        <v>0</v>
      </c>
      <c r="E12" s="115">
        <v>200000</v>
      </c>
      <c r="F12" s="4" t="s">
        <v>495</v>
      </c>
    </row>
    <row r="13" spans="1:8">
      <c r="A13" s="112" t="s">
        <v>74</v>
      </c>
      <c r="B13" s="113">
        <f>$E$7*20%</f>
        <v>2061150</v>
      </c>
      <c r="C13" s="114" t="s">
        <v>873</v>
      </c>
      <c r="D13" s="115">
        <v>0</v>
      </c>
      <c r="E13" s="115">
        <v>1861150</v>
      </c>
      <c r="F13" s="4" t="s">
        <v>911</v>
      </c>
    </row>
    <row r="14" spans="1:8">
      <c r="A14" s="112" t="s">
        <v>75</v>
      </c>
      <c r="B14" s="113">
        <f>$E$7*15%</f>
        <v>1545862.5</v>
      </c>
      <c r="C14" s="114" t="s">
        <v>996</v>
      </c>
      <c r="D14" s="115">
        <v>2061150</v>
      </c>
      <c r="E14" s="115"/>
      <c r="F14" s="11"/>
    </row>
    <row r="15" spans="1:8">
      <c r="A15" s="112" t="s">
        <v>185</v>
      </c>
      <c r="B15" s="113">
        <f>$E$7*5%</f>
        <v>515287.5</v>
      </c>
      <c r="C15" s="114"/>
      <c r="D15" s="115">
        <v>0</v>
      </c>
      <c r="E15" s="115"/>
      <c r="F15" s="11"/>
    </row>
    <row r="16" spans="1:8">
      <c r="A16" s="112" t="s">
        <v>184</v>
      </c>
      <c r="B16" s="113">
        <f>$E$7*15%</f>
        <v>1545862.5</v>
      </c>
      <c r="C16" s="114"/>
      <c r="D16" s="115">
        <v>0</v>
      </c>
      <c r="E16" s="115"/>
      <c r="F16" s="11"/>
    </row>
    <row r="17" spans="1:8">
      <c r="A17" s="112" t="s">
        <v>76</v>
      </c>
      <c r="B17" s="113">
        <f>$E$7*5%</f>
        <v>515287.5</v>
      </c>
      <c r="C17" s="114"/>
      <c r="D17" s="115">
        <v>0</v>
      </c>
      <c r="E17" s="115"/>
      <c r="F17" s="11"/>
    </row>
    <row r="18" spans="1:8">
      <c r="A18" s="93"/>
      <c r="B18" s="94"/>
      <c r="C18" s="95" t="s">
        <v>77</v>
      </c>
      <c r="D18" s="96">
        <f>SUM(D11:D17)</f>
        <v>2061150</v>
      </c>
      <c r="E18" s="97">
        <f>SUM(E11:E17)</f>
        <v>2061150</v>
      </c>
    </row>
    <row r="19" spans="1:8">
      <c r="A19" s="98"/>
      <c r="B19" s="99"/>
      <c r="C19" s="100"/>
      <c r="D19" s="101" t="s">
        <v>78</v>
      </c>
      <c r="E19" s="164">
        <f>D18+E18</f>
        <v>4122300</v>
      </c>
    </row>
    <row r="20" spans="1:8" ht="16.5" thickBot="1">
      <c r="A20" s="102"/>
      <c r="B20" s="103"/>
      <c r="C20" s="100"/>
      <c r="D20" s="101" t="s">
        <v>79</v>
      </c>
      <c r="E20" s="165">
        <f>E7-E19</f>
        <v>6183450</v>
      </c>
    </row>
    <row r="21" spans="1:8" ht="16.5" thickTop="1">
      <c r="A21" s="98" t="str">
        <f>IF(B7="","","NOTE: "&amp;Data!R66)</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4122300</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4122300</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4122300</v>
      </c>
    </row>
    <row r="39" spans="1:8" ht="16.5" thickBot="1">
      <c r="C39" s="17" t="s">
        <v>95</v>
      </c>
      <c r="D39" s="23">
        <f>D37-E37</f>
        <v>-4058155.2</v>
      </c>
      <c r="E39" s="24"/>
    </row>
    <row r="40" spans="1:8" ht="16.5" thickTop="1"/>
  </sheetData>
  <mergeCells count="4">
    <mergeCell ref="A9:A10"/>
    <mergeCell ref="B9:B10"/>
    <mergeCell ref="C9:C10"/>
    <mergeCell ref="D9:E9"/>
  </mergeCells>
  <hyperlinks>
    <hyperlink ref="A2:E2" location="Data!A1" display="PROJECT   NAME :  RRL PALACIO" xr:uid="{611FCE9B-F544-427C-B0DE-0FB1AACE3FA7}"/>
  </hyperlinks>
  <pageMargins left="0.7" right="0.7" top="0.75" bottom="0.75" header="0.3" footer="0.3"/>
  <pageSetup paperSize="9" orientation="portrait" horizontalDpi="0" verticalDpi="0"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822E2-FFF4-4ABC-85DE-5031037E43BB}">
  <sheetPr codeName="Sheet49"/>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8.5703125" style="12" customWidth="1"/>
    <col min="6" max="6" width="5.7109375" style="6" customWidth="1"/>
    <col min="7" max="7" width="11.28515625" style="6" customWidth="1"/>
    <col min="8" max="8" width="9.85546875" style="6" bestFit="1" customWidth="1"/>
    <col min="9" max="16384" width="11.42578125" style="6"/>
  </cols>
  <sheetData>
    <row r="1" spans="1:8">
      <c r="A1" s="166" t="str">
        <f>Data!B68</f>
        <v>KRISHNA GANJI AND RADHIKA GANJI</v>
      </c>
      <c r="B1" s="91"/>
      <c r="C1" s="91"/>
      <c r="D1" s="91"/>
      <c r="E1" s="92"/>
      <c r="F1" s="6">
        <f>Data!P68</f>
        <v>0</v>
      </c>
      <c r="G1" s="7"/>
      <c r="H1" s="8" t="str">
        <f>Data!AX68</f>
        <v>Builder</v>
      </c>
    </row>
    <row r="2" spans="1:8">
      <c r="A2" s="111" t="s">
        <v>105</v>
      </c>
      <c r="B2" s="111"/>
      <c r="C2" s="111"/>
      <c r="D2" s="111"/>
      <c r="E2" s="111"/>
      <c r="G2" s="9" t="s">
        <v>56</v>
      </c>
      <c r="H2" s="9" t="s">
        <v>57</v>
      </c>
    </row>
    <row r="3" spans="1:8">
      <c r="A3" s="116" t="s">
        <v>58</v>
      </c>
      <c r="B3" s="207">
        <f>Data!A68</f>
        <v>2103</v>
      </c>
      <c r="C3" s="118" t="s">
        <v>59</v>
      </c>
      <c r="D3" s="119" t="s">
        <v>106</v>
      </c>
      <c r="E3" s="129">
        <f>Data!F68-'2103'!E4</f>
        <v>10839500</v>
      </c>
      <c r="G3" s="10">
        <f>E7-H3</f>
        <v>11381475</v>
      </c>
      <c r="H3" s="10"/>
    </row>
    <row r="4" spans="1:8">
      <c r="A4" s="116" t="s">
        <v>60</v>
      </c>
      <c r="B4" s="120" t="str">
        <f>Data!C68</f>
        <v>Tower-1</v>
      </c>
      <c r="C4" s="121" t="s">
        <v>61</v>
      </c>
      <c r="D4" s="122" t="s">
        <v>106</v>
      </c>
      <c r="E4" s="130">
        <f>(Data!F68*5)/105</f>
        <v>541975</v>
      </c>
      <c r="F4" s="7" t="s">
        <v>62</v>
      </c>
      <c r="G4" s="10">
        <f>G3-E18</f>
        <v>10243337</v>
      </c>
      <c r="H4" s="10">
        <f>H3-D18</f>
        <v>0</v>
      </c>
    </row>
    <row r="5" spans="1:8">
      <c r="A5" s="116" t="s">
        <v>63</v>
      </c>
      <c r="B5" s="123">
        <f>Data!E68</f>
        <v>1630</v>
      </c>
      <c r="C5" s="124" t="s">
        <v>52</v>
      </c>
      <c r="D5" s="125" t="s">
        <v>106</v>
      </c>
      <c r="E5" s="129">
        <f>SUM(E3:E4)</f>
        <v>11381475</v>
      </c>
    </row>
    <row r="6" spans="1:8">
      <c r="A6" s="116" t="s">
        <v>34</v>
      </c>
      <c r="B6" s="123" t="str">
        <f>Data!D68</f>
        <v>3 BHK</v>
      </c>
      <c r="C6" s="80" t="s">
        <v>64</v>
      </c>
      <c r="D6" s="119" t="s">
        <v>106</v>
      </c>
      <c r="E6" s="130">
        <v>0</v>
      </c>
    </row>
    <row r="7" spans="1:8">
      <c r="A7" s="116" t="s">
        <v>65</v>
      </c>
      <c r="B7" s="126" t="str">
        <f>Data!V68</f>
        <v>RRL PAB024</v>
      </c>
      <c r="C7" s="127" t="s">
        <v>66</v>
      </c>
      <c r="D7" s="128" t="s">
        <v>106</v>
      </c>
      <c r="E7" s="131">
        <f>ROUND(SUM(E5:E6),0)</f>
        <v>11381475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2276295</v>
      </c>
      <c r="C11" s="114" t="s">
        <v>465</v>
      </c>
      <c r="D11" s="115">
        <v>0</v>
      </c>
      <c r="E11" s="115">
        <v>11000</v>
      </c>
      <c r="F11" s="4" t="s">
        <v>458</v>
      </c>
    </row>
    <row r="12" spans="1:8">
      <c r="A12" s="112" t="s">
        <v>73</v>
      </c>
      <c r="B12" s="113">
        <f>$E$7*20%</f>
        <v>2276295</v>
      </c>
      <c r="C12" s="114" t="s">
        <v>467</v>
      </c>
      <c r="D12" s="115">
        <v>0</v>
      </c>
      <c r="E12" s="115">
        <v>80000</v>
      </c>
      <c r="F12" s="4" t="s">
        <v>488</v>
      </c>
    </row>
    <row r="13" spans="1:8">
      <c r="A13" s="112" t="s">
        <v>74</v>
      </c>
      <c r="B13" s="113">
        <f>$E$7*20%</f>
        <v>2276295</v>
      </c>
      <c r="C13" s="114" t="s">
        <v>570</v>
      </c>
      <c r="D13" s="115">
        <v>0</v>
      </c>
      <c r="E13" s="115">
        <v>9000</v>
      </c>
      <c r="F13" s="4" t="s">
        <v>807</v>
      </c>
    </row>
    <row r="14" spans="1:8">
      <c r="A14" s="112" t="s">
        <v>75</v>
      </c>
      <c r="B14" s="113">
        <f>$E$7*15%</f>
        <v>1707221.25</v>
      </c>
      <c r="C14" s="114" t="s">
        <v>665</v>
      </c>
      <c r="D14" s="115">
        <v>0</v>
      </c>
      <c r="E14" s="115">
        <v>500000</v>
      </c>
      <c r="F14" s="4" t="s">
        <v>809</v>
      </c>
    </row>
    <row r="15" spans="1:8">
      <c r="A15" s="112" t="s">
        <v>185</v>
      </c>
      <c r="B15" s="113">
        <f>$E$7*5%</f>
        <v>569073.75</v>
      </c>
      <c r="C15" s="114" t="s">
        <v>800</v>
      </c>
      <c r="D15" s="115">
        <v>0</v>
      </c>
      <c r="E15" s="115">
        <v>538138</v>
      </c>
      <c r="F15" s="4" t="s">
        <v>810</v>
      </c>
    </row>
    <row r="16" spans="1:8">
      <c r="A16" s="112" t="s">
        <v>184</v>
      </c>
      <c r="B16" s="113">
        <f>$E$7*15%</f>
        <v>1707221.25</v>
      </c>
      <c r="C16" s="114"/>
      <c r="D16" s="115">
        <v>0</v>
      </c>
      <c r="E16" s="115"/>
      <c r="F16" s="11"/>
    </row>
    <row r="17" spans="1:8">
      <c r="A17" s="112" t="s">
        <v>76</v>
      </c>
      <c r="B17" s="113">
        <f>$E$7*5%</f>
        <v>569073.75</v>
      </c>
      <c r="C17" s="114"/>
      <c r="D17" s="115">
        <v>0</v>
      </c>
      <c r="E17" s="115"/>
      <c r="F17" s="11"/>
    </row>
    <row r="18" spans="1:8">
      <c r="A18" s="93"/>
      <c r="B18" s="94"/>
      <c r="C18" s="95" t="s">
        <v>77</v>
      </c>
      <c r="D18" s="96">
        <f>SUM(D11:D17)</f>
        <v>0</v>
      </c>
      <c r="E18" s="97">
        <f>SUM(E11:E17)</f>
        <v>1138138</v>
      </c>
    </row>
    <row r="19" spans="1:8">
      <c r="A19" s="98"/>
      <c r="B19" s="99"/>
      <c r="C19" s="100"/>
      <c r="D19" s="101" t="s">
        <v>78</v>
      </c>
      <c r="E19" s="164">
        <f>D18+E18</f>
        <v>1138138</v>
      </c>
    </row>
    <row r="20" spans="1:8" ht="16.5" thickBot="1">
      <c r="A20" s="102"/>
      <c r="B20" s="103"/>
      <c r="C20" s="100"/>
      <c r="D20" s="101" t="s">
        <v>79</v>
      </c>
      <c r="E20" s="165">
        <f>E7-E19</f>
        <v>10243337</v>
      </c>
    </row>
    <row r="21" spans="1:8" ht="16.5" thickTop="1">
      <c r="A21" s="98" t="str">
        <f>IF(B7="","","NOTE: "&amp;Data!R68)</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1138138</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1138138</v>
      </c>
      <c r="F30" s="6"/>
      <c r="G30" s="6"/>
      <c r="H30" s="6"/>
    </row>
    <row r="31" spans="1:8" s="15" customFormat="1">
      <c r="A31" s="6"/>
      <c r="B31" s="6"/>
      <c r="C31" s="7" t="s">
        <v>88</v>
      </c>
      <c r="D31" s="12">
        <f>B5*3*12</f>
        <v>58680</v>
      </c>
      <c r="E31" s="16" t="str">
        <f>IF(D31="","Maintenance will be paid to Association","")</f>
        <v/>
      </c>
      <c r="F31" s="6"/>
      <c r="G31" s="6"/>
      <c r="H31" s="6"/>
    </row>
    <row r="32" spans="1:8" s="15" customFormat="1">
      <c r="A32" s="6"/>
      <c r="B32" s="6"/>
      <c r="C32" s="7" t="s">
        <v>89</v>
      </c>
      <c r="D32" s="19">
        <f>IF(D31="","",D31*18%)</f>
        <v>10562.4</v>
      </c>
      <c r="E32" s="20"/>
      <c r="F32" s="6"/>
      <c r="G32" s="6"/>
      <c r="H32" s="6"/>
    </row>
    <row r="33" spans="1:8" s="15" customFormat="1">
      <c r="A33" s="6"/>
      <c r="B33" s="6"/>
      <c r="C33" s="17" t="s">
        <v>90</v>
      </c>
      <c r="D33" s="13">
        <f>SUM(D31:D32)</f>
        <v>69242.399999999994</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69242.399999999994</v>
      </c>
      <c r="E37" s="22">
        <f>SUM(E34:E36)+E33+E30</f>
        <v>1138138</v>
      </c>
    </row>
    <row r="39" spans="1:8" ht="16.5" thickBot="1">
      <c r="C39" s="17" t="s">
        <v>95</v>
      </c>
      <c r="D39" s="23">
        <f>D37-E37</f>
        <v>-1068895.6000000001</v>
      </c>
      <c r="E39" s="24"/>
    </row>
    <row r="40" spans="1:8" ht="16.5" thickTop="1"/>
  </sheetData>
  <mergeCells count="4">
    <mergeCell ref="A9:A10"/>
    <mergeCell ref="B9:B10"/>
    <mergeCell ref="C9:C10"/>
    <mergeCell ref="D9:E9"/>
  </mergeCells>
  <hyperlinks>
    <hyperlink ref="A2:E2" location="Data!A1" display="PROJECT   NAME :  RRL PALACIO" xr:uid="{423B6D2A-266E-43EB-B6E5-2FBC0023E893}"/>
  </hyperlinks>
  <pageMargins left="0.7" right="0.7" top="0.75" bottom="0.75" header="0.3" footer="0.3"/>
  <pageSetup paperSize="9" orientation="portrait" horizontalDpi="0" verticalDpi="0"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BF01F-6E02-494F-B946-011E29D6E8CC}">
  <sheetPr codeName="Sheet39"/>
  <dimension ref="A1:H42"/>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Data!B69</f>
        <v>GUNTUPALLI NAVEEN KUMAR</v>
      </c>
      <c r="B1" s="91"/>
      <c r="C1" s="91"/>
      <c r="D1" s="91"/>
      <c r="E1" s="92"/>
      <c r="F1" s="6" t="str">
        <f>Data!P69</f>
        <v>BOB</v>
      </c>
      <c r="G1" s="7"/>
      <c r="H1" s="8" t="str">
        <f>Data!AX69</f>
        <v>Builder</v>
      </c>
    </row>
    <row r="2" spans="1:8">
      <c r="A2" s="111" t="s">
        <v>105</v>
      </c>
      <c r="B2" s="111"/>
      <c r="C2" s="111"/>
      <c r="D2" s="111"/>
      <c r="E2" s="111"/>
      <c r="G2" s="9" t="s">
        <v>56</v>
      </c>
      <c r="H2" s="9" t="s">
        <v>57</v>
      </c>
    </row>
    <row r="3" spans="1:8">
      <c r="A3" s="116" t="s">
        <v>58</v>
      </c>
      <c r="B3" s="207">
        <f>Data!A69</f>
        <v>2104</v>
      </c>
      <c r="C3" s="118" t="s">
        <v>59</v>
      </c>
      <c r="D3" s="119" t="s">
        <v>106</v>
      </c>
      <c r="E3" s="129">
        <f>Data!F69-'2104'!E4</f>
        <v>9438000</v>
      </c>
      <c r="G3" s="10">
        <f>E7-H3</f>
        <v>809900</v>
      </c>
      <c r="H3" s="10">
        <v>9100000</v>
      </c>
    </row>
    <row r="4" spans="1:8">
      <c r="A4" s="116" t="s">
        <v>60</v>
      </c>
      <c r="B4" s="120" t="str">
        <f>Data!C69</f>
        <v>Tower-1</v>
      </c>
      <c r="C4" s="121" t="s">
        <v>61</v>
      </c>
      <c r="D4" s="122" t="s">
        <v>106</v>
      </c>
      <c r="E4" s="130">
        <f>(Data!F69*5)/105</f>
        <v>471900</v>
      </c>
      <c r="F4" s="7" t="s">
        <v>62</v>
      </c>
      <c r="G4" s="10">
        <f>G3-E20</f>
        <v>309900</v>
      </c>
      <c r="H4" s="10">
        <f>H3-D20</f>
        <v>5636040</v>
      </c>
    </row>
    <row r="5" spans="1:8">
      <c r="A5" s="116" t="s">
        <v>63</v>
      </c>
      <c r="B5" s="123">
        <f>Data!E69</f>
        <v>1560</v>
      </c>
      <c r="C5" s="124" t="s">
        <v>52</v>
      </c>
      <c r="D5" s="125" t="s">
        <v>106</v>
      </c>
      <c r="E5" s="129">
        <f>SUM(E3:E4)</f>
        <v>9909900</v>
      </c>
    </row>
    <row r="6" spans="1:8">
      <c r="A6" s="116" t="s">
        <v>34</v>
      </c>
      <c r="B6" s="123" t="str">
        <f>Data!D69</f>
        <v>3 BHK</v>
      </c>
      <c r="C6" s="80" t="s">
        <v>64</v>
      </c>
      <c r="D6" s="119" t="s">
        <v>106</v>
      </c>
      <c r="E6" s="130">
        <v>0</v>
      </c>
    </row>
    <row r="7" spans="1:8">
      <c r="A7" s="116" t="s">
        <v>65</v>
      </c>
      <c r="B7" s="126" t="str">
        <f>Data!V69</f>
        <v>RRL PAB012</v>
      </c>
      <c r="C7" s="127" t="s">
        <v>66</v>
      </c>
      <c r="D7" s="128" t="s">
        <v>106</v>
      </c>
      <c r="E7" s="131">
        <f>ROUND(SUM(E5:E6),0)</f>
        <v>9909900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1981980</v>
      </c>
      <c r="C11" s="114" t="s">
        <v>284</v>
      </c>
      <c r="D11" s="115">
        <v>0</v>
      </c>
      <c r="E11" s="115">
        <v>1</v>
      </c>
      <c r="F11" s="4" t="s">
        <v>365</v>
      </c>
    </row>
    <row r="12" spans="1:8">
      <c r="A12" s="112" t="s">
        <v>73</v>
      </c>
      <c r="B12" s="113">
        <f>$E$7*20%</f>
        <v>1981980</v>
      </c>
      <c r="C12" s="114" t="s">
        <v>371</v>
      </c>
      <c r="D12" s="115">
        <v>0</v>
      </c>
      <c r="E12" s="115">
        <v>99999</v>
      </c>
      <c r="F12" s="4" t="s">
        <v>368</v>
      </c>
    </row>
    <row r="13" spans="1:8">
      <c r="A13" s="112" t="s">
        <v>74</v>
      </c>
      <c r="B13" s="113">
        <f>$E$7*20%</f>
        <v>1981980</v>
      </c>
      <c r="C13" s="114" t="s">
        <v>313</v>
      </c>
      <c r="D13" s="115">
        <v>0</v>
      </c>
      <c r="E13" s="115">
        <v>100000</v>
      </c>
      <c r="F13" s="4" t="s">
        <v>403</v>
      </c>
    </row>
    <row r="14" spans="1:8">
      <c r="A14" s="112" t="s">
        <v>75</v>
      </c>
      <c r="B14" s="113">
        <f>$E$7*15%</f>
        <v>1486485</v>
      </c>
      <c r="C14" s="114" t="s">
        <v>703</v>
      </c>
      <c r="D14" s="115">
        <v>0</v>
      </c>
      <c r="E14" s="115">
        <v>100000</v>
      </c>
      <c r="F14" s="4" t="s">
        <v>721</v>
      </c>
    </row>
    <row r="15" spans="1:8">
      <c r="A15" s="112" t="s">
        <v>185</v>
      </c>
      <c r="B15" s="113">
        <f>$E$7*5%</f>
        <v>495495</v>
      </c>
      <c r="C15" s="114" t="s">
        <v>722</v>
      </c>
      <c r="D15" s="115">
        <v>0</v>
      </c>
      <c r="E15" s="115">
        <v>100000</v>
      </c>
      <c r="F15" s="4" t="s">
        <v>724</v>
      </c>
    </row>
    <row r="16" spans="1:8">
      <c r="A16" s="112" t="s">
        <v>184</v>
      </c>
      <c r="B16" s="113">
        <f>$E$7*15%</f>
        <v>1486485</v>
      </c>
      <c r="C16" s="114" t="s">
        <v>733</v>
      </c>
      <c r="D16" s="115">
        <v>0</v>
      </c>
      <c r="E16" s="115">
        <v>100000</v>
      </c>
      <c r="F16" s="4" t="s">
        <v>932</v>
      </c>
    </row>
    <row r="17" spans="1:8">
      <c r="A17" s="112" t="s">
        <v>76</v>
      </c>
      <c r="B17" s="113">
        <f>$E$7*5%</f>
        <v>495495</v>
      </c>
      <c r="C17" s="114" t="s">
        <v>995</v>
      </c>
      <c r="D17" s="115">
        <v>3463960</v>
      </c>
      <c r="E17" s="115"/>
      <c r="F17" s="4" t="s">
        <v>999</v>
      </c>
    </row>
    <row r="18" spans="1:8">
      <c r="A18" s="112"/>
      <c r="B18" s="113"/>
      <c r="C18" s="114"/>
      <c r="D18" s="115"/>
      <c r="E18" s="115"/>
      <c r="F18" s="11"/>
    </row>
    <row r="19" spans="1:8">
      <c r="A19" s="112"/>
      <c r="B19" s="113"/>
      <c r="C19" s="114"/>
      <c r="D19" s="115"/>
      <c r="E19" s="115"/>
      <c r="F19" s="11"/>
    </row>
    <row r="20" spans="1:8">
      <c r="A20" s="93"/>
      <c r="B20" s="94"/>
      <c r="C20" s="95" t="s">
        <v>77</v>
      </c>
      <c r="D20" s="96">
        <f>SUM(D11:D18)</f>
        <v>3463960</v>
      </c>
      <c r="E20" s="97">
        <f>SUM(E11:E18)</f>
        <v>500000</v>
      </c>
    </row>
    <row r="21" spans="1:8">
      <c r="A21" s="98"/>
      <c r="B21" s="99"/>
      <c r="C21" s="100"/>
      <c r="D21" s="101" t="s">
        <v>78</v>
      </c>
      <c r="E21" s="164">
        <f>D20+E20</f>
        <v>3963960</v>
      </c>
    </row>
    <row r="22" spans="1:8" ht="16.5" thickBot="1">
      <c r="A22" s="102"/>
      <c r="B22" s="103"/>
      <c r="C22" s="100"/>
      <c r="D22" s="101" t="s">
        <v>79</v>
      </c>
      <c r="E22" s="165">
        <f>E7-E21</f>
        <v>5945940</v>
      </c>
    </row>
    <row r="23" spans="1:8" ht="16.5" thickTop="1">
      <c r="A23" s="98" t="str">
        <f>IF(B7="","","NOTE: "&amp;Data!R69)</f>
        <v>NOTE: EXCLUDING GOVERNMENT CHARGES, MAINTENANCE</v>
      </c>
      <c r="B23" s="99"/>
      <c r="C23" s="99"/>
      <c r="D23" s="99"/>
      <c r="E23" s="104"/>
    </row>
    <row r="24" spans="1:8">
      <c r="A24" s="105"/>
      <c r="B24" s="106"/>
      <c r="C24" s="106"/>
      <c r="D24" s="106"/>
      <c r="E24" s="107"/>
    </row>
    <row r="26" spans="1:8">
      <c r="D26" s="13" t="s">
        <v>80</v>
      </c>
      <c r="E26" s="14" t="s">
        <v>81</v>
      </c>
    </row>
    <row r="27" spans="1:8">
      <c r="C27" s="7" t="s">
        <v>82</v>
      </c>
      <c r="E27" s="16">
        <f>E21</f>
        <v>3963960</v>
      </c>
    </row>
    <row r="28" spans="1:8">
      <c r="C28" s="7" t="s">
        <v>83</v>
      </c>
      <c r="D28" s="12">
        <v>0</v>
      </c>
      <c r="E28" s="16"/>
    </row>
    <row r="29" spans="1:8">
      <c r="C29" s="17" t="s">
        <v>84</v>
      </c>
      <c r="D29" s="13">
        <f>SUM(D27:D28)</f>
        <v>0</v>
      </c>
      <c r="E29" s="16"/>
    </row>
    <row r="30" spans="1:8" s="15" customFormat="1">
      <c r="A30" s="6"/>
      <c r="B30" s="6"/>
      <c r="C30" s="7" t="s">
        <v>85</v>
      </c>
      <c r="D30" s="12">
        <f>D29*5%</f>
        <v>0</v>
      </c>
      <c r="E30" s="18"/>
      <c r="F30" s="6"/>
      <c r="G30" s="6"/>
      <c r="H30" s="6"/>
    </row>
    <row r="31" spans="1:8" s="15" customFormat="1">
      <c r="A31" s="6"/>
      <c r="B31" s="6"/>
      <c r="C31" s="7" t="s">
        <v>86</v>
      </c>
      <c r="D31" s="19">
        <v>0</v>
      </c>
      <c r="E31" s="20"/>
      <c r="F31" s="6"/>
      <c r="G31" s="6"/>
      <c r="H31" s="6"/>
    </row>
    <row r="32" spans="1:8" s="15" customFormat="1">
      <c r="A32" s="6"/>
      <c r="B32" s="6"/>
      <c r="C32" s="17" t="s">
        <v>87</v>
      </c>
      <c r="D32" s="13">
        <f>D29+D30+D31</f>
        <v>0</v>
      </c>
      <c r="E32" s="14">
        <f>SUM(E27:E31)</f>
        <v>3963960</v>
      </c>
      <c r="F32" s="6"/>
      <c r="G32" s="6"/>
      <c r="H32" s="6"/>
    </row>
    <row r="33" spans="1:8" s="15" customFormat="1">
      <c r="A33" s="6"/>
      <c r="B33" s="6"/>
      <c r="C33" s="7" t="s">
        <v>88</v>
      </c>
      <c r="D33" s="12">
        <f>B5*3*12</f>
        <v>56160</v>
      </c>
      <c r="E33" s="16" t="str">
        <f>IF(D33="","Maintenance will be paid to Association","")</f>
        <v/>
      </c>
      <c r="F33" s="6"/>
      <c r="G33" s="6"/>
      <c r="H33" s="6"/>
    </row>
    <row r="34" spans="1:8" s="15" customFormat="1">
      <c r="A34" s="6"/>
      <c r="B34" s="6"/>
      <c r="C34" s="7" t="s">
        <v>89</v>
      </c>
      <c r="D34" s="19">
        <f>IF(D33="","",D33*18%)</f>
        <v>10108.799999999999</v>
      </c>
      <c r="E34" s="20"/>
      <c r="F34" s="6"/>
      <c r="G34" s="6"/>
      <c r="H34" s="6"/>
    </row>
    <row r="35" spans="1:8" s="15" customFormat="1">
      <c r="A35" s="6"/>
      <c r="B35" s="6"/>
      <c r="C35" s="17" t="s">
        <v>90</v>
      </c>
      <c r="D35" s="13">
        <f>SUM(D33:D34)</f>
        <v>66268.800000000003</v>
      </c>
      <c r="E35" s="14">
        <f>SUM(E33:E34)</f>
        <v>0</v>
      </c>
      <c r="F35" s="6"/>
      <c r="G35" s="6"/>
      <c r="H35" s="6"/>
    </row>
    <row r="36" spans="1:8">
      <c r="C36" s="7" t="s">
        <v>91</v>
      </c>
      <c r="D36" s="12">
        <v>0</v>
      </c>
      <c r="E36" s="16"/>
    </row>
    <row r="37" spans="1:8" s="15" customFormat="1">
      <c r="A37" s="6"/>
      <c r="B37" s="6"/>
      <c r="C37" s="7" t="s">
        <v>92</v>
      </c>
      <c r="D37" s="12"/>
      <c r="E37" s="16"/>
      <c r="F37" s="6"/>
      <c r="G37" s="6"/>
      <c r="H37" s="6"/>
    </row>
    <row r="38" spans="1:8" s="15" customFormat="1">
      <c r="A38" s="6"/>
      <c r="B38" s="6"/>
      <c r="C38" s="7" t="s">
        <v>93</v>
      </c>
      <c r="D38" s="19"/>
      <c r="E38" s="20"/>
      <c r="F38" s="6"/>
      <c r="G38" s="6"/>
      <c r="H38" s="6"/>
    </row>
    <row r="39" spans="1:8">
      <c r="C39" s="17" t="s">
        <v>94</v>
      </c>
      <c r="D39" s="21">
        <f>SUM(D36:D38)+D35+D32</f>
        <v>66268.800000000003</v>
      </c>
      <c r="E39" s="22">
        <f>SUM(E36:E38)+E35+E32</f>
        <v>3963960</v>
      </c>
    </row>
    <row r="41" spans="1:8" ht="16.5" thickBot="1">
      <c r="C41" s="17" t="s">
        <v>95</v>
      </c>
      <c r="D41" s="23">
        <f>D39-E39</f>
        <v>-3897691.2</v>
      </c>
      <c r="E41" s="24"/>
    </row>
    <row r="42" spans="1:8" ht="16.5" thickTop="1"/>
  </sheetData>
  <mergeCells count="4">
    <mergeCell ref="A9:A10"/>
    <mergeCell ref="B9:B10"/>
    <mergeCell ref="C9:C10"/>
    <mergeCell ref="D9:E9"/>
  </mergeCells>
  <hyperlinks>
    <hyperlink ref="A2:E2" location="Data!A1" display="PROJECT   NAME :  RRL PALACIO" xr:uid="{5574E16A-7CC7-4CAD-8405-F1EB549DA66F}"/>
  </hyperlinks>
  <pageMargins left="0.7" right="0.7" top="0.75" bottom="0.75" header="0.3" footer="0.3"/>
  <pageSetup paperSize="9" orientation="portrait" horizontalDpi="0" verticalDpi="0"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69EA-64CF-4987-B16B-B420F448C66B}">
  <sheetPr codeName="Sheet44"/>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5" width="16.42578125" style="12" customWidth="1"/>
    <col min="6" max="6" width="5.7109375" style="6" customWidth="1"/>
    <col min="7" max="7" width="11.140625" style="6" bestFit="1" customWidth="1"/>
    <col min="8" max="8" width="9.85546875" style="6" bestFit="1" customWidth="1"/>
    <col min="9" max="16384" width="11.42578125" style="6"/>
  </cols>
  <sheetData>
    <row r="1" spans="1:8">
      <c r="A1" s="166" t="str">
        <f>Data!B71</f>
        <v>TANUKU MAHESH BABU</v>
      </c>
      <c r="B1" s="91"/>
      <c r="C1" s="91"/>
      <c r="D1" s="91"/>
      <c r="E1" s="92"/>
      <c r="F1" s="6" t="str">
        <f>Data!P71</f>
        <v>HDFC</v>
      </c>
      <c r="G1" s="7"/>
      <c r="H1" s="8" t="str">
        <f>Data!AX71</f>
        <v>Builder</v>
      </c>
    </row>
    <row r="2" spans="1:8">
      <c r="A2" s="111" t="s">
        <v>105</v>
      </c>
      <c r="B2" s="111"/>
      <c r="C2" s="111"/>
      <c r="D2" s="111"/>
      <c r="E2" s="111"/>
      <c r="G2" s="9" t="s">
        <v>56</v>
      </c>
      <c r="H2" s="9" t="s">
        <v>57</v>
      </c>
    </row>
    <row r="3" spans="1:8">
      <c r="A3" s="116" t="s">
        <v>58</v>
      </c>
      <c r="B3" s="207">
        <f>Data!A71</f>
        <v>2201</v>
      </c>
      <c r="C3" s="118" t="s">
        <v>59</v>
      </c>
      <c r="D3" s="119" t="s">
        <v>106</v>
      </c>
      <c r="E3" s="129">
        <f>Data!F71-'2201'!E4</f>
        <v>8349000</v>
      </c>
      <c r="G3" s="10">
        <f>E7-H3</f>
        <v>1266450</v>
      </c>
      <c r="H3" s="10">
        <v>7500000</v>
      </c>
    </row>
    <row r="4" spans="1:8">
      <c r="A4" s="116" t="s">
        <v>60</v>
      </c>
      <c r="B4" s="120" t="str">
        <f>Data!C71</f>
        <v>Tower-1</v>
      </c>
      <c r="C4" s="121" t="s">
        <v>61</v>
      </c>
      <c r="D4" s="122" t="s">
        <v>106</v>
      </c>
      <c r="E4" s="130">
        <f>(Data!F71*5)/105</f>
        <v>417450</v>
      </c>
      <c r="F4" s="7" t="s">
        <v>62</v>
      </c>
      <c r="G4" s="10">
        <f>G3-E18</f>
        <v>389805</v>
      </c>
      <c r="H4" s="10">
        <f>H3-D18</f>
        <v>7500000</v>
      </c>
    </row>
    <row r="5" spans="1:8">
      <c r="A5" s="116" t="s">
        <v>63</v>
      </c>
      <c r="B5" s="123">
        <f>Data!E71</f>
        <v>1265</v>
      </c>
      <c r="C5" s="124" t="s">
        <v>52</v>
      </c>
      <c r="D5" s="125" t="s">
        <v>106</v>
      </c>
      <c r="E5" s="129">
        <f>SUM(E3:E4)</f>
        <v>8766450</v>
      </c>
    </row>
    <row r="6" spans="1:8">
      <c r="A6" s="116" t="s">
        <v>34</v>
      </c>
      <c r="B6" s="123" t="str">
        <f>Data!D71</f>
        <v>2 BHK</v>
      </c>
      <c r="C6" s="80" t="s">
        <v>64</v>
      </c>
      <c r="D6" s="119" t="s">
        <v>106</v>
      </c>
      <c r="E6" s="130">
        <v>0</v>
      </c>
    </row>
    <row r="7" spans="1:8">
      <c r="A7" s="116" t="s">
        <v>65</v>
      </c>
      <c r="B7" s="126" t="str">
        <f>Data!V71</f>
        <v>RRL PAB016</v>
      </c>
      <c r="C7" s="127" t="s">
        <v>66</v>
      </c>
      <c r="D7" s="128" t="s">
        <v>106</v>
      </c>
      <c r="E7" s="131">
        <f>ROUND(SUM(E5:E6),0)</f>
        <v>8766450</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1753290</v>
      </c>
      <c r="C11" s="114" t="s">
        <v>310</v>
      </c>
      <c r="D11" s="115">
        <v>0</v>
      </c>
      <c r="E11" s="115"/>
      <c r="F11" s="4"/>
    </row>
    <row r="12" spans="1:8">
      <c r="A12" s="112" t="s">
        <v>73</v>
      </c>
      <c r="B12" s="113">
        <f>$E$7*20%</f>
        <v>1753290</v>
      </c>
      <c r="C12" s="114" t="s">
        <v>306</v>
      </c>
      <c r="D12" s="115">
        <v>0</v>
      </c>
      <c r="E12" s="115">
        <v>50000</v>
      </c>
      <c r="F12" s="4" t="s">
        <v>387</v>
      </c>
    </row>
    <row r="13" spans="1:8">
      <c r="A13" s="112" t="s">
        <v>74</v>
      </c>
      <c r="B13" s="113">
        <f>$E$7*20%</f>
        <v>1753290</v>
      </c>
      <c r="C13" s="114" t="s">
        <v>501</v>
      </c>
      <c r="D13" s="115">
        <v>0</v>
      </c>
      <c r="E13" s="115">
        <v>-50000</v>
      </c>
      <c r="F13" s="11"/>
    </row>
    <row r="14" spans="1:8">
      <c r="A14" s="112" t="s">
        <v>75</v>
      </c>
      <c r="B14" s="113">
        <f>$E$7*15%</f>
        <v>1314967.5</v>
      </c>
      <c r="C14" s="114" t="s">
        <v>546</v>
      </c>
      <c r="D14" s="115">
        <v>0</v>
      </c>
      <c r="E14" s="115">
        <v>200000</v>
      </c>
      <c r="F14" s="4" t="s">
        <v>498</v>
      </c>
    </row>
    <row r="15" spans="1:8">
      <c r="A15" s="112" t="s">
        <v>185</v>
      </c>
      <c r="B15" s="113">
        <f>$E$7*5%</f>
        <v>438322.5</v>
      </c>
      <c r="C15" s="114" t="s">
        <v>854</v>
      </c>
      <c r="D15" s="115">
        <v>0</v>
      </c>
      <c r="E15" s="115">
        <v>676645</v>
      </c>
      <c r="F15" s="4" t="s">
        <v>853</v>
      </c>
    </row>
    <row r="16" spans="1:8">
      <c r="A16" s="112" t="s">
        <v>184</v>
      </c>
      <c r="B16" s="113">
        <f>$E$7*15%</f>
        <v>1314967.5</v>
      </c>
      <c r="C16" s="114"/>
      <c r="D16" s="115">
        <v>0</v>
      </c>
      <c r="E16" s="115"/>
      <c r="F16" s="11"/>
    </row>
    <row r="17" spans="1:8">
      <c r="A17" s="112" t="s">
        <v>76</v>
      </c>
      <c r="B17" s="113">
        <f>$E$7*5%</f>
        <v>438322.5</v>
      </c>
      <c r="C17" s="114"/>
      <c r="D17" s="115">
        <v>0</v>
      </c>
      <c r="E17" s="115"/>
      <c r="F17" s="11"/>
    </row>
    <row r="18" spans="1:8">
      <c r="A18" s="93"/>
      <c r="B18" s="94"/>
      <c r="C18" s="95" t="s">
        <v>77</v>
      </c>
      <c r="D18" s="96">
        <f>SUM(D11:D17)</f>
        <v>0</v>
      </c>
      <c r="E18" s="97">
        <f>SUM(E11:E17)</f>
        <v>876645</v>
      </c>
    </row>
    <row r="19" spans="1:8">
      <c r="A19" s="98"/>
      <c r="B19" s="99"/>
      <c r="C19" s="100"/>
      <c r="D19" s="101" t="s">
        <v>78</v>
      </c>
      <c r="E19" s="164">
        <f>D18+E18</f>
        <v>876645</v>
      </c>
    </row>
    <row r="20" spans="1:8" ht="16.5" thickBot="1">
      <c r="A20" s="102"/>
      <c r="B20" s="103"/>
      <c r="C20" s="100"/>
      <c r="D20" s="101" t="s">
        <v>79</v>
      </c>
      <c r="E20" s="165">
        <f>E7-E19</f>
        <v>7889805</v>
      </c>
    </row>
    <row r="21" spans="1:8" ht="16.5" thickTop="1">
      <c r="A21" s="98" t="str">
        <f>IF(B7="","","NOTE: "&amp;Data!R71)</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876645</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876645</v>
      </c>
      <c r="F30" s="6"/>
      <c r="G30" s="6"/>
      <c r="H30" s="6"/>
    </row>
    <row r="31" spans="1:8" s="15" customFormat="1">
      <c r="A31" s="6"/>
      <c r="B31" s="6"/>
      <c r="C31" s="7" t="s">
        <v>88</v>
      </c>
      <c r="D31" s="12">
        <f>B5*3*12</f>
        <v>45540</v>
      </c>
      <c r="E31" s="16" t="str">
        <f>IF(D31="","Maintenance will be paid to Association","")</f>
        <v/>
      </c>
      <c r="F31" s="6"/>
      <c r="G31" s="6"/>
      <c r="H31" s="6"/>
    </row>
    <row r="32" spans="1:8" s="15" customFormat="1">
      <c r="A32" s="6"/>
      <c r="B32" s="6"/>
      <c r="C32" s="7" t="s">
        <v>89</v>
      </c>
      <c r="D32" s="19">
        <f>IF(D31="","",D31*18%)</f>
        <v>8197.1999999999989</v>
      </c>
      <c r="E32" s="20"/>
      <c r="F32" s="6"/>
      <c r="G32" s="6"/>
      <c r="H32" s="6"/>
    </row>
    <row r="33" spans="1:8" s="15" customFormat="1">
      <c r="A33" s="6"/>
      <c r="B33" s="6"/>
      <c r="C33" s="17" t="s">
        <v>90</v>
      </c>
      <c r="D33" s="13">
        <f>SUM(D31:D32)</f>
        <v>53737.2</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53737.2</v>
      </c>
      <c r="E37" s="22">
        <f>SUM(E34:E36)+E33+E30</f>
        <v>876645</v>
      </c>
    </row>
    <row r="39" spans="1:8" ht="16.5" thickBot="1">
      <c r="C39" s="17" t="s">
        <v>95</v>
      </c>
      <c r="D39" s="23">
        <f>D37-E37</f>
        <v>-822907.8</v>
      </c>
      <c r="E39" s="24"/>
    </row>
    <row r="40" spans="1:8" ht="16.5" thickTop="1"/>
  </sheetData>
  <mergeCells count="4">
    <mergeCell ref="A9:A10"/>
    <mergeCell ref="B9:B10"/>
    <mergeCell ref="C9:C10"/>
    <mergeCell ref="D9:E9"/>
  </mergeCells>
  <hyperlinks>
    <hyperlink ref="A2:E2" location="Data!A1" display="PROJECT   NAME :  RRL PALACIO" xr:uid="{784288FB-5BC3-4D69-9A66-3B7C1A3F8599}"/>
  </hyperlinks>
  <pageMargins left="0.7" right="0.7" top="0.75" bottom="0.75" header="0.3" footer="0.3"/>
  <pageSetup paperSize="9" orientation="portrait" horizontalDpi="0" verticalDpi="0"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12036-5570-4A0A-A02D-7C4C7851925E}">
  <sheetPr codeName="Sheet52"/>
  <dimension ref="A1:H40"/>
  <sheetViews>
    <sheetView zoomScale="85" zoomScaleNormal="85" workbookViewId="0">
      <selection activeCell="C2" sqref="C2"/>
    </sheetView>
  </sheetViews>
  <sheetFormatPr defaultColWidth="11.42578125" defaultRowHeight="15.75"/>
  <cols>
    <col min="1" max="1" width="57.42578125" style="6" bestFit="1" customWidth="1"/>
    <col min="2" max="2" width="15.42578125" style="6" customWidth="1"/>
    <col min="3" max="3" width="53.85546875" style="6" customWidth="1"/>
    <col min="4" max="4" width="16.42578125" style="12" customWidth="1"/>
    <col min="5" max="5" width="19" style="12" bestFit="1" customWidth="1"/>
    <col min="6" max="6" width="5.7109375" style="6" customWidth="1"/>
    <col min="7" max="7" width="11.5703125" style="6" bestFit="1" customWidth="1"/>
    <col min="8" max="8" width="9.85546875" style="6" bestFit="1" customWidth="1"/>
    <col min="9" max="16384" width="11.42578125" style="6"/>
  </cols>
  <sheetData>
    <row r="1" spans="1:8">
      <c r="A1" s="166" t="str">
        <f>Data!B75</f>
        <v>NAGAMALLA HARISH</v>
      </c>
      <c r="B1" s="91"/>
      <c r="C1" s="91"/>
      <c r="D1" s="91"/>
      <c r="E1" s="92"/>
      <c r="F1" s="6" t="str">
        <f>Data!P75</f>
        <v>HDFC</v>
      </c>
      <c r="G1" s="7"/>
      <c r="H1" s="8" t="str">
        <f>Data!AX75</f>
        <v>Builder</v>
      </c>
    </row>
    <row r="2" spans="1:8">
      <c r="A2" s="111" t="s">
        <v>105</v>
      </c>
      <c r="B2" s="111"/>
      <c r="C2" s="111"/>
      <c r="D2" s="111"/>
      <c r="E2" s="111"/>
      <c r="G2" s="9" t="s">
        <v>56</v>
      </c>
      <c r="H2" s="9" t="s">
        <v>57</v>
      </c>
    </row>
    <row r="3" spans="1:8">
      <c r="A3" s="116" t="s">
        <v>58</v>
      </c>
      <c r="B3" s="207">
        <f>Data!A75</f>
        <v>2205</v>
      </c>
      <c r="C3" s="118" t="s">
        <v>59</v>
      </c>
      <c r="D3" s="119" t="s">
        <v>106</v>
      </c>
      <c r="E3" s="129">
        <f>Data!F75-'2205'!E4</f>
        <v>10192500</v>
      </c>
      <c r="G3" s="10">
        <f>E7-H3</f>
        <v>2675531</v>
      </c>
      <c r="H3" s="10">
        <v>8026594</v>
      </c>
    </row>
    <row r="4" spans="1:8">
      <c r="A4" s="116" t="s">
        <v>60</v>
      </c>
      <c r="B4" s="120" t="str">
        <f>Data!C75</f>
        <v>Tower-1</v>
      </c>
      <c r="C4" s="121" t="s">
        <v>61</v>
      </c>
      <c r="D4" s="122" t="s">
        <v>106</v>
      </c>
      <c r="E4" s="130">
        <f>(Data!F75*5)/105</f>
        <v>509625</v>
      </c>
      <c r="F4" s="7" t="s">
        <v>62</v>
      </c>
      <c r="G4" s="10">
        <f>G3-E18</f>
        <v>1605318</v>
      </c>
      <c r="H4" s="10">
        <f>H3-D18</f>
        <v>8026594</v>
      </c>
    </row>
    <row r="5" spans="1:8">
      <c r="A5" s="116" t="s">
        <v>63</v>
      </c>
      <c r="B5" s="123">
        <f>Data!E75</f>
        <v>1510</v>
      </c>
      <c r="C5" s="124" t="s">
        <v>52</v>
      </c>
      <c r="D5" s="125" t="s">
        <v>106</v>
      </c>
      <c r="E5" s="129">
        <f>SUM(E3:E4)</f>
        <v>10702125</v>
      </c>
    </row>
    <row r="6" spans="1:8">
      <c r="A6" s="116" t="s">
        <v>34</v>
      </c>
      <c r="B6" s="123" t="str">
        <f>Data!D75</f>
        <v>3 BHK</v>
      </c>
      <c r="C6" s="80" t="s">
        <v>64</v>
      </c>
      <c r="D6" s="119" t="s">
        <v>106</v>
      </c>
      <c r="E6" s="130">
        <v>0</v>
      </c>
    </row>
    <row r="7" spans="1:8">
      <c r="A7" s="116" t="s">
        <v>65</v>
      </c>
      <c r="B7" s="126" t="str">
        <f>Data!V75</f>
        <v>RRL PAB030</v>
      </c>
      <c r="C7" s="127" t="s">
        <v>66</v>
      </c>
      <c r="D7" s="128" t="s">
        <v>106</v>
      </c>
      <c r="E7" s="131">
        <f>ROUND(SUM(E5:E6),0)</f>
        <v>10702125</v>
      </c>
    </row>
    <row r="8" spans="1:8">
      <c r="A8" s="108"/>
      <c r="B8" s="109"/>
      <c r="C8" s="109"/>
      <c r="D8" s="109"/>
      <c r="E8" s="110"/>
    </row>
    <row r="9" spans="1:8">
      <c r="A9" s="318" t="s">
        <v>67</v>
      </c>
      <c r="B9" s="319"/>
      <c r="C9" s="318" t="s">
        <v>68</v>
      </c>
      <c r="D9" s="320" t="s">
        <v>69</v>
      </c>
      <c r="E9" s="320"/>
    </row>
    <row r="10" spans="1:8">
      <c r="A10" s="318"/>
      <c r="B10" s="319"/>
      <c r="C10" s="318"/>
      <c r="D10" s="90" t="s">
        <v>70</v>
      </c>
      <c r="E10" s="90" t="s">
        <v>71</v>
      </c>
    </row>
    <row r="11" spans="1:8">
      <c r="A11" s="112" t="s">
        <v>72</v>
      </c>
      <c r="B11" s="113">
        <f>$E$7*20%</f>
        <v>2140425</v>
      </c>
      <c r="C11" s="114" t="s">
        <v>576</v>
      </c>
      <c r="D11" s="115">
        <v>0</v>
      </c>
      <c r="E11" s="115"/>
      <c r="F11" s="4"/>
    </row>
    <row r="12" spans="1:8">
      <c r="A12" s="112" t="s">
        <v>73</v>
      </c>
      <c r="B12" s="113">
        <f>$E$7*20%</f>
        <v>2140425</v>
      </c>
      <c r="C12" s="114" t="s">
        <v>577</v>
      </c>
      <c r="D12" s="115">
        <v>0</v>
      </c>
      <c r="E12" s="115">
        <v>100000</v>
      </c>
      <c r="F12" s="4" t="s">
        <v>558</v>
      </c>
    </row>
    <row r="13" spans="1:8">
      <c r="A13" s="112" t="s">
        <v>74</v>
      </c>
      <c r="B13" s="113">
        <f>$E$7*20%</f>
        <v>2140425</v>
      </c>
      <c r="C13" s="114" t="s">
        <v>734</v>
      </c>
      <c r="D13" s="115">
        <v>0</v>
      </c>
      <c r="E13" s="115">
        <v>970213</v>
      </c>
      <c r="F13" s="4" t="s">
        <v>726</v>
      </c>
    </row>
    <row r="14" spans="1:8">
      <c r="A14" s="112" t="s">
        <v>75</v>
      </c>
      <c r="B14" s="113">
        <f>$E$7*15%</f>
        <v>1605318.75</v>
      </c>
      <c r="C14" s="114"/>
      <c r="D14" s="115">
        <v>0</v>
      </c>
      <c r="E14" s="115"/>
      <c r="F14" s="4"/>
    </row>
    <row r="15" spans="1:8">
      <c r="A15" s="112" t="s">
        <v>185</v>
      </c>
      <c r="B15" s="113">
        <f>$E$7*5%</f>
        <v>535106.25</v>
      </c>
      <c r="C15" s="114"/>
      <c r="D15" s="115">
        <v>0</v>
      </c>
      <c r="E15" s="115"/>
      <c r="F15" s="11"/>
    </row>
    <row r="16" spans="1:8">
      <c r="A16" s="112" t="s">
        <v>184</v>
      </c>
      <c r="B16" s="113">
        <f>$E$7*15%</f>
        <v>1605318.75</v>
      </c>
      <c r="C16" s="114"/>
      <c r="D16" s="115">
        <v>0</v>
      </c>
      <c r="E16" s="115"/>
      <c r="F16" s="11"/>
    </row>
    <row r="17" spans="1:8">
      <c r="A17" s="112" t="s">
        <v>76</v>
      </c>
      <c r="B17" s="113">
        <f>$E$7*5%</f>
        <v>535106.25</v>
      </c>
      <c r="C17" s="114"/>
      <c r="D17" s="115">
        <v>0</v>
      </c>
      <c r="E17" s="115"/>
      <c r="F17" s="11"/>
    </row>
    <row r="18" spans="1:8">
      <c r="A18" s="93"/>
      <c r="B18" s="94"/>
      <c r="C18" s="95" t="s">
        <v>77</v>
      </c>
      <c r="D18" s="96">
        <f>SUM(D11:D17)</f>
        <v>0</v>
      </c>
      <c r="E18" s="97">
        <f>SUM(E11:E17)</f>
        <v>1070213</v>
      </c>
    </row>
    <row r="19" spans="1:8">
      <c r="A19" s="98"/>
      <c r="B19" s="99"/>
      <c r="C19" s="100"/>
      <c r="D19" s="101" t="s">
        <v>78</v>
      </c>
      <c r="E19" s="164">
        <f>D18+E18</f>
        <v>1070213</v>
      </c>
    </row>
    <row r="20" spans="1:8" ht="16.5" thickBot="1">
      <c r="A20" s="102"/>
      <c r="B20" s="103"/>
      <c r="C20" s="100"/>
      <c r="D20" s="101" t="s">
        <v>79</v>
      </c>
      <c r="E20" s="165">
        <f>E7-E19</f>
        <v>9631912</v>
      </c>
    </row>
    <row r="21" spans="1:8" ht="16.5" thickTop="1">
      <c r="A21" s="98" t="str">
        <f>IF(B7="","","NOTE: "&amp;Data!R75)</f>
        <v>NOTE: EXCLUDING GOVERNMENT CHARGES, MAINTENANCE</v>
      </c>
      <c r="B21" s="99"/>
      <c r="C21" s="99"/>
      <c r="D21" s="99"/>
      <c r="E21" s="104"/>
    </row>
    <row r="22" spans="1:8">
      <c r="A22" s="105"/>
      <c r="B22" s="106"/>
      <c r="C22" s="106"/>
      <c r="D22" s="106"/>
      <c r="E22" s="107"/>
    </row>
    <row r="24" spans="1:8">
      <c r="D24" s="13" t="s">
        <v>80</v>
      </c>
      <c r="E24" s="14" t="s">
        <v>81</v>
      </c>
    </row>
    <row r="25" spans="1:8">
      <c r="C25" s="7" t="s">
        <v>82</v>
      </c>
      <c r="E25" s="16">
        <f>E19</f>
        <v>1070213</v>
      </c>
    </row>
    <row r="26" spans="1:8">
      <c r="C26" s="7" t="s">
        <v>83</v>
      </c>
      <c r="D26" s="12">
        <v>0</v>
      </c>
      <c r="E26" s="16"/>
    </row>
    <row r="27" spans="1:8">
      <c r="C27" s="17" t="s">
        <v>84</v>
      </c>
      <c r="D27" s="13">
        <f>SUM(D25:D26)</f>
        <v>0</v>
      </c>
      <c r="E27" s="16"/>
    </row>
    <row r="28" spans="1:8" s="15" customFormat="1">
      <c r="A28" s="6"/>
      <c r="B28" s="6"/>
      <c r="C28" s="7" t="s">
        <v>85</v>
      </c>
      <c r="D28" s="12">
        <f>D27*5%</f>
        <v>0</v>
      </c>
      <c r="E28" s="18"/>
      <c r="F28" s="6"/>
      <c r="G28" s="6"/>
      <c r="H28" s="6"/>
    </row>
    <row r="29" spans="1:8" s="15" customFormat="1">
      <c r="A29" s="6"/>
      <c r="B29" s="6"/>
      <c r="C29" s="7" t="s">
        <v>86</v>
      </c>
      <c r="D29" s="19">
        <v>0</v>
      </c>
      <c r="E29" s="20"/>
      <c r="F29" s="6"/>
      <c r="G29" s="6"/>
      <c r="H29" s="6"/>
    </row>
    <row r="30" spans="1:8" s="15" customFormat="1">
      <c r="A30" s="6"/>
      <c r="B30" s="6"/>
      <c r="C30" s="17" t="s">
        <v>87</v>
      </c>
      <c r="D30" s="13">
        <f>D27+D28+D29</f>
        <v>0</v>
      </c>
      <c r="E30" s="14">
        <f>SUM(E25:E29)</f>
        <v>1070213</v>
      </c>
      <c r="F30" s="6"/>
      <c r="G30" s="6"/>
      <c r="H30" s="6"/>
    </row>
    <row r="31" spans="1:8" s="15" customFormat="1">
      <c r="A31" s="6"/>
      <c r="B31" s="6"/>
      <c r="C31" s="7" t="s">
        <v>88</v>
      </c>
      <c r="D31" s="12">
        <f>B5*3*12</f>
        <v>54360</v>
      </c>
      <c r="E31" s="16" t="str">
        <f>IF(D31="","Maintenance will be paid to Association","")</f>
        <v/>
      </c>
      <c r="F31" s="6"/>
      <c r="G31" s="6"/>
      <c r="H31" s="6"/>
    </row>
    <row r="32" spans="1:8" s="15" customFormat="1">
      <c r="A32" s="6"/>
      <c r="B32" s="6"/>
      <c r="C32" s="7" t="s">
        <v>89</v>
      </c>
      <c r="D32" s="19">
        <f>IF(D31="","",D31*18%)</f>
        <v>9784.7999999999993</v>
      </c>
      <c r="E32" s="20"/>
      <c r="F32" s="6"/>
      <c r="G32" s="6"/>
      <c r="H32" s="6"/>
    </row>
    <row r="33" spans="1:8" s="15" customFormat="1">
      <c r="A33" s="6"/>
      <c r="B33" s="6"/>
      <c r="C33" s="17" t="s">
        <v>90</v>
      </c>
      <c r="D33" s="13">
        <f>SUM(D31:D32)</f>
        <v>64144.800000000003</v>
      </c>
      <c r="E33" s="14">
        <f>SUM(E31:E32)</f>
        <v>0</v>
      </c>
      <c r="F33" s="6"/>
      <c r="G33" s="6"/>
      <c r="H33" s="6"/>
    </row>
    <row r="34" spans="1:8">
      <c r="C34" s="7" t="s">
        <v>91</v>
      </c>
      <c r="D34" s="12">
        <v>0</v>
      </c>
      <c r="E34" s="16"/>
    </row>
    <row r="35" spans="1:8" s="15" customFormat="1">
      <c r="A35" s="6"/>
      <c r="B35" s="6"/>
      <c r="C35" s="7" t="s">
        <v>92</v>
      </c>
      <c r="D35" s="12"/>
      <c r="E35" s="16"/>
      <c r="F35" s="6"/>
      <c r="G35" s="6"/>
      <c r="H35" s="6"/>
    </row>
    <row r="36" spans="1:8" s="15" customFormat="1">
      <c r="A36" s="6"/>
      <c r="B36" s="6"/>
      <c r="C36" s="7" t="s">
        <v>93</v>
      </c>
      <c r="D36" s="19"/>
      <c r="E36" s="20"/>
      <c r="F36" s="6"/>
      <c r="G36" s="6"/>
      <c r="H36" s="6"/>
    </row>
    <row r="37" spans="1:8">
      <c r="C37" s="17" t="s">
        <v>94</v>
      </c>
      <c r="D37" s="21">
        <f>SUM(D34:D36)+D33+D30</f>
        <v>64144.800000000003</v>
      </c>
      <c r="E37" s="22">
        <f>SUM(E34:E36)+E33+E30</f>
        <v>1070213</v>
      </c>
    </row>
    <row r="39" spans="1:8" ht="16.5" thickBot="1">
      <c r="C39" s="17" t="s">
        <v>95</v>
      </c>
      <c r="D39" s="23">
        <f>D37-E37</f>
        <v>-1006068.2</v>
      </c>
      <c r="E39" s="24"/>
    </row>
    <row r="40" spans="1:8" ht="16.5" thickTop="1"/>
  </sheetData>
  <mergeCells count="4">
    <mergeCell ref="A9:A10"/>
    <mergeCell ref="B9:B10"/>
    <mergeCell ref="C9:C10"/>
    <mergeCell ref="D9:E9"/>
  </mergeCells>
  <hyperlinks>
    <hyperlink ref="A2:E2" location="Data!A1" display="PROJECT   NAME :  RRL PALACIO" xr:uid="{7985505A-AD7A-4773-91AE-6CE30C9E5CF6}"/>
  </hyperlinks>
  <pageMargins left="0.7" right="0.7" top="0.75" bottom="0.75" header="0.3" footer="0.3"/>
  <pageSetup paperSize="9"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C01D151555BF846840EAA89D848BF29" ma:contentTypeVersion="11" ma:contentTypeDescription="Create a new document." ma:contentTypeScope="" ma:versionID="4aa69ce32c7938d69580e99346ab0fd1">
  <xsd:schema xmlns:xsd="http://www.w3.org/2001/XMLSchema" xmlns:xs="http://www.w3.org/2001/XMLSchema" xmlns:p="http://schemas.microsoft.com/office/2006/metadata/properties" xmlns:ns2="76992113-8ff4-467e-ac17-5811730709a8" xmlns:ns3="d13134c4-dc95-419d-9b03-4be7da2ab8aa" targetNamespace="http://schemas.microsoft.com/office/2006/metadata/properties" ma:root="true" ma:fieldsID="9e038158cc116edf0c70f3f4bd2ae455" ns2:_="" ns3:_="">
    <xsd:import namespace="76992113-8ff4-467e-ac17-5811730709a8"/>
    <xsd:import namespace="d13134c4-dc95-419d-9b03-4be7da2ab8a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992113-8ff4-467e-ac17-5811730709a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52c3737-f135-44fc-a7ef-c75bc20a0b8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13134c4-dc95-419d-9b03-4be7da2ab8a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c2e63c6-1fe5-4dfb-a303-c4ee15cf9bd1}" ma:internalName="TaxCatchAll" ma:showField="CatchAllData" ma:web="d13134c4-dc95-419d-9b03-4be7da2ab8a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d13134c4-dc95-419d-9b03-4be7da2ab8aa" xsi:nil="true"/>
    <lcf76f155ced4ddcb4097134ff3c332f xmlns="76992113-8ff4-467e-ac17-5811730709a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D69EBA6-77DE-468A-9485-2CAC9AC2B1A6}">
  <ds:schemaRefs/>
</ds:datastoreItem>
</file>

<file path=customXml/itemProps2.xml><?xml version="1.0" encoding="utf-8"?>
<ds:datastoreItem xmlns:ds="http://schemas.openxmlformats.org/officeDocument/2006/customXml" ds:itemID="{44EF6263-ED47-4BD8-8F81-444E8DF46147}">
  <ds:schemaRefs/>
</ds:datastoreItem>
</file>

<file path=customXml/itemProps3.xml><?xml version="1.0" encoding="utf-8"?>
<ds:datastoreItem xmlns:ds="http://schemas.openxmlformats.org/officeDocument/2006/customXml" ds:itemID="{47A4C713-3D61-467A-99EF-39AFCFD79767}">
  <ds:schemaRefs>
    <ds:schemaRef ds:uri="d13134c4-dc95-419d-9b03-4be7da2ab8aa"/>
    <ds:schemaRef ds:uri="http://purl.org/dc/elements/1.1/"/>
    <ds:schemaRef ds:uri="http://purl.org/dc/dcmitype/"/>
    <ds:schemaRef ds:uri="http://www.w3.org/XML/1998/namespace"/>
    <ds:schemaRef ds:uri="76992113-8ff4-467e-ac17-5811730709a8"/>
    <ds:schemaRef ds:uri="http://schemas.microsoft.com/office/2006/documentManagement/types"/>
    <ds:schemaRef ds:uri="http://schemas.microsoft.com/office/infopath/2007/PartnerControls"/>
    <ds:schemaRef ds:uri="http://schemas.openxmlformats.org/package/2006/metadata/core-properties"/>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Booking Form-with charges</vt:lpstr>
      <vt:lpstr>Receipt</vt:lpstr>
      <vt:lpstr>Receipt Data</vt:lpstr>
      <vt:lpstr>Data</vt:lpstr>
      <vt:lpstr>0201</vt:lpstr>
      <vt:lpstr>0202</vt:lpstr>
      <vt:lpstr>0203</vt:lpstr>
      <vt:lpstr>0204</vt:lpstr>
      <vt:lpstr>0205</vt:lpstr>
      <vt:lpstr>0301</vt:lpstr>
      <vt:lpstr>0302</vt:lpstr>
      <vt:lpstr>0303</vt:lpstr>
      <vt:lpstr>0304</vt:lpstr>
      <vt:lpstr>0305</vt:lpstr>
      <vt:lpstr>0401</vt:lpstr>
      <vt:lpstr>0402</vt:lpstr>
      <vt:lpstr>0403</vt:lpstr>
      <vt:lpstr>0404</vt:lpstr>
      <vt:lpstr>0405</vt:lpstr>
      <vt:lpstr>0601</vt:lpstr>
      <vt:lpstr>0602</vt:lpstr>
      <vt:lpstr>0603</vt:lpstr>
      <vt:lpstr>0604</vt:lpstr>
      <vt:lpstr>0605</vt:lpstr>
      <vt:lpstr>0701</vt:lpstr>
      <vt:lpstr>0702</vt:lpstr>
      <vt:lpstr>0705</vt:lpstr>
      <vt:lpstr>0801</vt:lpstr>
      <vt:lpstr>0802</vt:lpstr>
      <vt:lpstr>1101</vt:lpstr>
      <vt:lpstr>1102</vt:lpstr>
      <vt:lpstr>1201</vt:lpstr>
      <vt:lpstr>1203</vt:lpstr>
      <vt:lpstr>1301</vt:lpstr>
      <vt:lpstr>1501</vt:lpstr>
      <vt:lpstr>1502</vt:lpstr>
      <vt:lpstr>1503</vt:lpstr>
      <vt:lpstr>1505</vt:lpstr>
      <vt:lpstr>1601</vt:lpstr>
      <vt:lpstr>1602</vt:lpstr>
      <vt:lpstr>1603</vt:lpstr>
      <vt:lpstr>1605</vt:lpstr>
      <vt:lpstr>1701</vt:lpstr>
      <vt:lpstr>1702</vt:lpstr>
      <vt:lpstr>1703</vt:lpstr>
      <vt:lpstr>1704</vt:lpstr>
      <vt:lpstr>1705</vt:lpstr>
      <vt:lpstr>2001</vt:lpstr>
      <vt:lpstr>2002</vt:lpstr>
      <vt:lpstr>2003</vt:lpstr>
      <vt:lpstr>2004</vt:lpstr>
      <vt:lpstr>2005</vt:lpstr>
      <vt:lpstr>2103</vt:lpstr>
      <vt:lpstr>2104</vt:lpstr>
      <vt:lpstr>2201</vt:lpstr>
      <vt:lpstr>2205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Ira Sharma</dc:creator>
  <cp:lastModifiedBy>Admin</cp:lastModifiedBy>
  <cp:lastPrinted>2026-03-20T10:53:13Z</cp:lastPrinted>
  <dcterms:created xsi:type="dcterms:W3CDTF">2015-06-05T18:17:00Z</dcterms:created>
  <dcterms:modified xsi:type="dcterms:W3CDTF">2026-03-20T13:19:02Z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LPManualFileClassification">
    <vt:lpwstr>{1A067545-A4E2-4FA1-8094-0D7902669705}</vt:lpwstr>
  </property>
  <property fmtid="{D5CDD505-2E9C-101B-9397-08002B2CF9AE}" pid="3" name="DLPManualFileClassificationLastModifiedBy">
    <vt:lpwstr>BSLI\HF447189</vt:lpwstr>
  </property>
  <property fmtid="{D5CDD505-2E9C-101B-9397-08002B2CF9AE}" pid="4" name="DLPManualFileClassificationLastModificationDate">
    <vt:lpwstr>1692611849</vt:lpwstr>
  </property>
  <property fmtid="{D5CDD505-2E9C-101B-9397-08002B2CF9AE}" pid="5" name="DLPManualFileClassificationVersion">
    <vt:lpwstr>11.6.700.14</vt:lpwstr>
  </property>
  <property fmtid="{D5CDD505-2E9C-101B-9397-08002B2CF9AE}" pid="6" name="ContentTypeId">
    <vt:lpwstr>0x0101008C01D151555BF846840EAA89D848BF29</vt:lpwstr>
  </property>
  <property fmtid="{D5CDD505-2E9C-101B-9397-08002B2CF9AE}" pid="7" name="MediaServiceImageTags">
    <vt:lpwstr/>
  </property>
  <property fmtid="{D5CDD505-2E9C-101B-9397-08002B2CF9AE}" pid="8" name="ICV">
    <vt:lpwstr>84D9BF3FEE4540B7B1A232F7C26234BF_12</vt:lpwstr>
  </property>
  <property fmtid="{D5CDD505-2E9C-101B-9397-08002B2CF9AE}" pid="9" name="KSOProductBuildVer">
    <vt:lpwstr>1033-12.2.0.20795</vt:lpwstr>
  </property>
</Properties>
</file>